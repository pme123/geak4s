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aamepar/dev/experiments/geak4s/"/>
    </mc:Choice>
  </mc:AlternateContent>
  <xr:revisionPtr revIDLastSave="0" documentId="13_ncr:8009_{1D304D25-FC4E-5C44-9890-74B50A0611C2}" xr6:coauthVersionLast="47" xr6:coauthVersionMax="47" xr10:uidLastSave="{00000000-0000-0000-0000-000000000000}"/>
  <workbookProtection lockStructure="1"/>
  <bookViews>
    <workbookView xWindow="0" yWindow="760" windowWidth="34560" windowHeight="20160" tabRatio="906" xr2:uid="{2DA48115-A043-C244-944E-500FBFD6D879}"/>
  </bookViews>
  <sheets>
    <sheet name="Projekt" sheetId="1" r:id="rId1"/>
    <sheet name="Gebäudenutzungen" sheetId="44" r:id="rId2"/>
    <sheet name="Dächer und Decken" sheetId="32" r:id="rId3"/>
    <sheet name="Wände" sheetId="3" r:id="rId4"/>
    <sheet name="Fenster und Türen" sheetId="33" r:id="rId5"/>
    <sheet name="Böden" sheetId="34" r:id="rId6"/>
    <sheet name="Wärmebrücken" sheetId="35" r:id="rId7"/>
    <sheet name="Wärmeerzeuger" sheetId="14" r:id="rId8"/>
    <sheet name="Speicher" sheetId="45" r:id="rId9"/>
    <sheet name="Versorgter Bereich Heizung" sheetId="17" r:id="rId10"/>
    <sheet name="Versorgter Bereich Warmwasser" sheetId="36" r:id="rId11"/>
    <sheet name="Verbrauchsdaten HWW" sheetId="30" r:id="rId12"/>
    <sheet name="Geräte und Installationen" sheetId="21" r:id="rId13"/>
    <sheet name="Kleingeräte und Elektronik" sheetId="37" r:id="rId14"/>
    <sheet name="Beleuchtung" sheetId="38" r:id="rId15"/>
    <sheet name="Betriebseinrichtungen und Gerät" sheetId="39" r:id="rId16"/>
    <sheet name="Elektrizitätsprod. ohne PVopti" sheetId="12" r:id="rId17"/>
    <sheet name="Elektrizitätsprod. mit PVopti" sheetId="46" r:id="rId18"/>
    <sheet name="Weitere Verbraucher" sheetId="40" r:id="rId19"/>
    <sheet name="Verbrauchsdaten Elektrizität" sheetId="18" r:id="rId20"/>
    <sheet name="Lüftung" sheetId="43" r:id="rId21"/>
    <sheet name="DropDownData" sheetId="28" state="hidden" r:id="rId22"/>
    <sheet name="WallOpeningParents" sheetId="31" state="hidden" r:id="rId23"/>
  </sheets>
  <externalReferences>
    <externalReference r:id="rId24"/>
  </externalReferences>
  <definedNames>
    <definedName name="Anrede">#REF!</definedName>
    <definedName name="ApartmentUsage">#REF!</definedName>
    <definedName name="BasementHeatingLevel">DropDownData!$AF$4:$AF$6</definedName>
    <definedName name="BestKnownWeatherStations">DropDownData!$L$4:$L$43</definedName>
    <definedName name="Boolean">DropDownData!$BO$4:$BO$5</definedName>
    <definedName name="BuildingUsageSubTypes">DropDownData!$R$4</definedName>
    <definedName name="BuildingUsageTypes">DropDownData!$N$4:$N$11</definedName>
    <definedName name="BuildingUsageTypeSelection">Gebäudenutzungen!$B$5:$D$5</definedName>
    <definedName name="BüroVerwaltung">DropDownData!$D$4:$D$7</definedName>
    <definedName name="CalculationBase_NoMeter">DropDownData!$X$4:$X$5</definedName>
    <definedName name="CalculationBase_OnlyLump">DropDownData!$AO$4</definedName>
    <definedName name="Condition">#REF!</definedName>
    <definedName name="ConstructionType">DropDownData!$I$4:$I$7</definedName>
    <definedName name="ConsumerMeterType">DropDownData!$CC$4:$CC$5</definedName>
    <definedName name="Country">#REF!</definedName>
    <definedName name="DeviceQualities">#REF!</definedName>
    <definedName name="DeviceQuality">DropDownData!$BN$4:$BN$7</definedName>
    <definedName name="Devices">DropDownData!$BL$4:$BL$24</definedName>
    <definedName name="DeviceType">#REF!</definedName>
    <definedName name="DirectNeighborsCount">#REF!</definedName>
    <definedName name="Einfamilienhaus">DropDownData!$B$4:$B$8</definedName>
    <definedName name="ElectricityProducerType">DropDownData!$BY$4:$BY$5</definedName>
    <definedName name="ElectronicsQualities">DropDownData!$BS$4:$BS$7</definedName>
    <definedName name="EMS_ExpertCode">DropDownData!$CA$4</definedName>
    <definedName name="EnergyManagementSystemType">DropDownData!$CB$4:$CB$6</definedName>
    <definedName name="EnergySource">#REF!</definedName>
    <definedName name="EnergySources">DropDownData!$AQ$4:$AQ$19</definedName>
    <definedName name="ExpansionDegrees">DropDownData!$BQ$4:$BQ$6</definedName>
    <definedName name="ExpertCodes">DropDownData!$BE$4:$BE$9</definedName>
    <definedName name="FacadeStructure">DropDownData!$S$4:$S$6</definedName>
    <definedName name="FanType">DropDownData!$AN$4:$AN$6</definedName>
    <definedName name="FloorHeating">#REF!</definedName>
    <definedName name="FloorType">DropDownData!$AH$4:$AH$11</definedName>
    <definedName name="Flow">#REF!</definedName>
    <definedName name="GeneralCondition">DropDownData!$T$4:$T$7</definedName>
    <definedName name="GroundPlan">#REF!</definedName>
    <definedName name="GroundPlanType">DropDownData!$J$4:$J$5</definedName>
    <definedName name="HeatEmission">DropDownData!$BD$4:$BD$6</definedName>
    <definedName name="HeaterExpertCodes">'Versorgter Bereich Heizung'!$A$10:$A$14</definedName>
    <definedName name="HeatExchangerType">DropDownData!$AM$4:$AM$7</definedName>
    <definedName name="HeatingFlows">DropDownData!$BG$4:$BG$11</definedName>
    <definedName name="HeatingScope">#REF!</definedName>
    <definedName name="HeatingSupplyType">DropDownData!$AU$4:$AU$6</definedName>
    <definedName name="HeatingType">DropDownData!$BC$4:$BC$5</definedName>
    <definedName name="HeatProducerCondition">DropDownData!$AV$4:$AV$6</definedName>
    <definedName name="HeatProducerExpertCodes" localSheetId="8">Speicher!$A$4:$A$8</definedName>
    <definedName name="HeatProducerExpertCodes">Wärmeerzeuger!$A$4:$A$8</definedName>
    <definedName name="HeatProducerOversize">DropDownData!$AR$4:$AR$8</definedName>
    <definedName name="HeatProducerTypes">DropDownData!$AS$4:$AS$31</definedName>
    <definedName name="HeatReservoir">#REF!</definedName>
    <definedName name="HeatUnit">DropDownData!$BK$4:$BK$11</definedName>
    <definedName name="HeizungsspeichervolumeninLiter">DropDownData!$AZ$4:$AZ$5</definedName>
    <definedName name="Hotel">DropDownData!$C$4:$C$10</definedName>
    <definedName name="HotelType">DropDownData!$O$4:$O$10</definedName>
    <definedName name="HpExpertCodes">DropDownData!$AP$4:$AP$8</definedName>
    <definedName name="HydraulicBalance">#REF!</definedName>
    <definedName name="InOutBuilding">#REF!</definedName>
    <definedName name="InOutThermalEnvelope">DropDownData!$AW$4:$AW$5</definedName>
    <definedName name="Land" localSheetId="14">#REF!</definedName>
    <definedName name="Land" localSheetId="15">#REF!</definedName>
    <definedName name="Land" localSheetId="13">#REF!</definedName>
    <definedName name="Land" localSheetId="20">#REF!</definedName>
    <definedName name="Land" localSheetId="10">#REF!</definedName>
    <definedName name="Land" localSheetId="18">#REF!</definedName>
    <definedName name="Land">#REF!</definedName>
    <definedName name="LightingQuality">DropDownData!$BU$4:$BU$7</definedName>
    <definedName name="LightningQualities">#REF!</definedName>
    <definedName name="ManagementUsage">#REF!</definedName>
    <definedName name="Mehrfamilienhaus">DropDownData!$A$4:$A$8</definedName>
    <definedName name="Orientation">DropDownData!$W$4:$W$11</definedName>
    <definedName name="OrientationExtended">#REF!</definedName>
    <definedName name="OrientationH">DropDownData!$AE$4:$AE$12</definedName>
    <definedName name="OrientationHExtended">DropDownData!$AB$4:$AB$13</definedName>
    <definedName name="OtherConsumerType">DropDownData!$BW$4:$BW$5</definedName>
    <definedName name="Oversizing">#REF!</definedName>
    <definedName name="PartialBool">DropDownData!$BF$4:$BF$6</definedName>
    <definedName name="_xlnm.Print_Area" localSheetId="0">Projekt!$A$1:$B$35</definedName>
    <definedName name="Prioritization">DropDownData!$M$4:$M$7</definedName>
    <definedName name="Quality">DropDownData!$BA$4:$BA$7</definedName>
    <definedName name="ReservoirType">DropDownData!$AY$4:$AY$6</definedName>
    <definedName name="Restaurant">DropDownData!$G$4:$G$8</definedName>
    <definedName name="RestaurantType">DropDownData!$P$4:$P$10</definedName>
    <definedName name="RoofCeilingType">DropDownData!$AA$4:$AA$10</definedName>
    <definedName name="RoofType">DropDownData!$Y$4:$Y$8</definedName>
    <definedName name="RoomsOrientation">#REF!</definedName>
    <definedName name="SchoolUsage">#REF!</definedName>
    <definedName name="Schule">DropDownData!$E$4:$E$13</definedName>
    <definedName name="ShopType">DropDownData!$Q$4:$Q$9</definedName>
    <definedName name="SpExpertCodes">DropDownData!$AX$4:$AX$13</definedName>
    <definedName name="StandardVentilationType">DropDownData!$AL$4:$AL$12</definedName>
    <definedName name="SubtractOpeningAreas">#REF!</definedName>
    <definedName name="SuppliedDistributionSystem">#REF!</definedName>
    <definedName name="SuppliedDistributionSystems">DropDownData!$AT$4:$AT$7</definedName>
    <definedName name="ThermalBridgeType">DropDownData!$AJ$4:$AJ$15</definedName>
    <definedName name="ThermallyInsulated">#REF!</definedName>
    <definedName name="Title">DropDownData!$H$4:$H$13</definedName>
    <definedName name="UnknownBool">DropDownData!$BH$4:$BH$6</definedName>
    <definedName name="Verkauf">DropDownData!$F$4:$F$11</definedName>
    <definedName name="WallOpeningParentCodes">OFFSET(WallOpeningParents!$B$1,0,0,SUMPRODUCT(--(WallOpeningParents!$B:$B&lt;&gt;"")),1)</definedName>
    <definedName name="WallOpeningType">DropDownData!$AD$4:$AD$8</definedName>
    <definedName name="WallType">DropDownData!$V$4:$V$10</definedName>
    <definedName name="WarmWaterWarmKeeping">DropDownData!$BJ$4:$BJ$6</definedName>
    <definedName name="WeatherStations">DropDownData!$K$4:$K$35</definedName>
    <definedName name="WS10ExpertCodes">DropDownData!$BI$4:$BI$13</definedName>
    <definedName name="WS12ExpertCodes">DropDownData!$BM$4:$BM$13</definedName>
    <definedName name="WS13ExpertCodes">DropDownData!$BP$4:$BP$13</definedName>
    <definedName name="WS14ExpertCodes">DropDownData!$BT$4:$BT$13</definedName>
    <definedName name="WS15ExpertCodes">DropDownData!$BR$4:$BR$13</definedName>
    <definedName name="WS16ExpertCodes">DropDownData!$BX$4:$BX$13</definedName>
    <definedName name="WS17ExpertCodes">DropDownData!$BZ$4:$BZ$13</definedName>
    <definedName name="WS18ExpertCodes">DropDownData!$BV$4:$BV$13</definedName>
    <definedName name="WS20ExpertCodes">DropDownData!$AK$4:$AK$13</definedName>
    <definedName name="WS2ExpertCodes">DropDownData!$Z$4:$Z$23</definedName>
    <definedName name="WS3ExpertCodes">DropDownData!$U$4:$U$23</definedName>
    <definedName name="WS4ExpertCodes">DropDownData!$AC$4:$AC$23</definedName>
    <definedName name="WS5ExpertCodes">DropDownData!$AG$4:$AG$23</definedName>
    <definedName name="WS6ExpertCodes">DropDownData!$AI$4:$AI$23</definedName>
    <definedName name="WS7ExpertCodes">[1]DropDownData!$AH$4:$AH$13</definedName>
    <definedName name="WS9ExpertCodes">DropDownData!$BB$4:$BB$13</definedName>
    <definedName name="Zips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7" i="44" l="1"/>
  <c r="B8" i="44"/>
  <c r="C8" i="44"/>
  <c r="D8" i="44"/>
  <c r="E8" i="44"/>
  <c r="A22" i="44"/>
  <c r="C22" i="44"/>
  <c r="E22" i="44"/>
  <c r="A23" i="44"/>
  <c r="C23" i="44"/>
  <c r="E23" i="44"/>
  <c r="A24" i="44"/>
  <c r="C24" i="44"/>
  <c r="E24" i="44"/>
  <c r="A25" i="44"/>
  <c r="C25" i="44"/>
  <c r="E25" i="44"/>
  <c r="A26" i="44"/>
  <c r="C26" i="44"/>
  <c r="E26" i="44"/>
  <c r="A27" i="44"/>
  <c r="C27" i="44"/>
  <c r="E27" i="44"/>
  <c r="A28" i="44"/>
  <c r="C28" i="44"/>
  <c r="E28" i="44"/>
  <c r="A29" i="44"/>
  <c r="C29" i="44"/>
  <c r="E29" i="44"/>
  <c r="A1" i="31"/>
  <c r="B22" i="31" s="1" a="1"/>
  <c r="B22" i="31" s="1"/>
  <c r="A2" i="31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B33" i="31" s="1" a="1"/>
  <c r="B33" i="31" s="1"/>
  <c r="A17" i="31"/>
  <c r="A18" i="31"/>
  <c r="A19" i="31"/>
  <c r="A20" i="31"/>
  <c r="A21" i="31"/>
  <c r="A22" i="31"/>
  <c r="A23" i="31"/>
  <c r="A24" i="31"/>
  <c r="A25" i="31"/>
  <c r="A26" i="31"/>
  <c r="A27" i="31"/>
  <c r="A28" i="31"/>
  <c r="B139" i="31" s="1" a="1"/>
  <c r="B139" i="31" s="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B145" i="31" a="1"/>
  <c r="B145" i="31" s="1"/>
  <c r="B80" i="31" a="1"/>
  <c r="B80" i="31" s="1"/>
  <c r="B197" i="31" a="1"/>
  <c r="B197" i="31" s="1"/>
  <c r="B133" i="31" a="1"/>
  <c r="B133" i="31" s="1"/>
  <c r="B37" i="31" a="1"/>
  <c r="B37" i="31" s="1"/>
  <c r="B159" i="31" a="1"/>
  <c r="B159" i="31" s="1"/>
  <c r="B180" i="31" a="1"/>
  <c r="B180" i="31" s="1"/>
  <c r="B148" i="31" a="1"/>
  <c r="B148" i="31" s="1"/>
  <c r="B100" i="31" a="1"/>
  <c r="B100" i="31" s="1"/>
  <c r="B137" i="31" a="1"/>
  <c r="B137" i="31" s="1"/>
  <c r="B89" i="31" a="1"/>
  <c r="B89" i="31" s="1"/>
  <c r="B57" i="31" a="1"/>
  <c r="B57" i="31" s="1"/>
  <c r="B41" i="31" a="1"/>
  <c r="B41" i="31" s="1"/>
  <c r="B25" i="31" a="1"/>
  <c r="B25" i="31" s="1"/>
  <c r="B9" i="31" a="1"/>
  <c r="B9" i="31" s="1"/>
  <c r="B193" i="31" a="1"/>
  <c r="B193" i="31" s="1"/>
  <c r="B129" i="31" a="1"/>
  <c r="B129" i="31" s="1"/>
  <c r="B17" i="31" a="1"/>
  <c r="B17" i="31" s="1"/>
  <c r="B123" i="31" a="1"/>
  <c r="B123" i="31" s="1"/>
  <c r="B43" i="31" a="1"/>
  <c r="B43" i="31" s="1"/>
  <c r="B144" i="31" a="1"/>
  <c r="B144" i="31" s="1"/>
  <c r="B64" i="31" a="1"/>
  <c r="B64" i="31" s="1"/>
  <c r="B181" i="31" a="1"/>
  <c r="B181" i="31" s="1"/>
  <c r="B117" i="31" a="1"/>
  <c r="B117" i="31" s="1"/>
  <c r="B21" i="31" a="1"/>
  <c r="B21" i="31" s="1"/>
  <c r="B122" i="31" a="1"/>
  <c r="B122" i="31" s="1"/>
  <c r="B42" i="31" a="1"/>
  <c r="B42" i="31" s="1"/>
  <c r="B143" i="31" a="1"/>
  <c r="B143" i="31" s="1"/>
  <c r="B63" i="31" a="1"/>
  <c r="B63" i="31" s="1"/>
  <c r="B15" i="31" a="1"/>
  <c r="B15" i="31" s="1"/>
  <c r="B164" i="31" a="1"/>
  <c r="B164" i="31" s="1"/>
  <c r="B132" i="31" a="1"/>
  <c r="B132" i="31" s="1"/>
  <c r="B84" i="31" a="1"/>
  <c r="B84" i="31" s="1"/>
  <c r="B36" i="31" a="1"/>
  <c r="B36" i="31" s="1"/>
  <c r="B169" i="31" a="1"/>
  <c r="B169" i="31" s="1"/>
  <c r="B121" i="31" a="1"/>
  <c r="B121" i="31" s="1"/>
  <c r="B73" i="31" a="1"/>
  <c r="B73" i="31" s="1"/>
  <c r="B174" i="31" a="1"/>
  <c r="B174" i="31" s="1"/>
  <c r="B142" i="31" a="1"/>
  <c r="B142" i="31" s="1"/>
  <c r="B110" i="31" a="1"/>
  <c r="B110" i="31" s="1"/>
  <c r="B94" i="31" a="1"/>
  <c r="B94" i="31" s="1"/>
  <c r="B78" i="31" a="1"/>
  <c r="B78" i="31" s="1"/>
  <c r="B62" i="31" a="1"/>
  <c r="B62" i="31" s="1"/>
  <c r="B46" i="31" a="1"/>
  <c r="B46" i="31" s="1"/>
  <c r="B30" i="31" a="1"/>
  <c r="B30" i="31" s="1"/>
  <c r="B14" i="31" a="1"/>
  <c r="B14" i="31" s="1"/>
  <c r="B113" i="31" a="1"/>
  <c r="B113" i="31" s="1"/>
  <c r="B155" i="31" a="1"/>
  <c r="B155" i="31" s="1"/>
  <c r="B75" i="31" a="1"/>
  <c r="B75" i="31" s="1"/>
  <c r="B192" i="31" a="1"/>
  <c r="B192" i="31" s="1"/>
  <c r="B96" i="31" a="1"/>
  <c r="B96" i="31" s="1"/>
  <c r="B16" i="31" a="1"/>
  <c r="B16" i="31" s="1"/>
  <c r="B101" i="31" a="1"/>
  <c r="B101" i="31" s="1"/>
  <c r="B186" i="31" a="1"/>
  <c r="B186" i="31" s="1"/>
  <c r="B106" i="31" a="1"/>
  <c r="B106" i="31" s="1"/>
  <c r="B26" i="31" a="1"/>
  <c r="B26" i="31" s="1"/>
  <c r="B127" i="31" a="1"/>
  <c r="B127" i="31" s="1"/>
  <c r="B47" i="31" a="1"/>
  <c r="B47" i="31" s="1"/>
  <c r="B196" i="31" a="1"/>
  <c r="B196" i="31" s="1"/>
  <c r="B116" i="31" a="1"/>
  <c r="B116" i="31" s="1"/>
  <c r="B68" i="31" a="1"/>
  <c r="B68" i="31" s="1"/>
  <c r="B20" i="31" a="1"/>
  <c r="B20" i="31" s="1"/>
  <c r="B153" i="31" a="1"/>
  <c r="B153" i="31" s="1"/>
  <c r="B105" i="31" a="1"/>
  <c r="B105" i="31" s="1"/>
  <c r="B190" i="31" a="1"/>
  <c r="B190" i="31" s="1"/>
  <c r="B158" i="31" a="1"/>
  <c r="B158" i="31" s="1"/>
  <c r="B126" i="31" a="1"/>
  <c r="B126" i="31" s="1"/>
  <c r="B195" i="31" a="1"/>
  <c r="B195" i="31" s="1"/>
  <c r="B179" i="31" a="1"/>
  <c r="B179" i="31" s="1"/>
  <c r="B163" i="31" a="1"/>
  <c r="B163" i="31" s="1"/>
  <c r="B147" i="31" a="1"/>
  <c r="B147" i="31" s="1"/>
  <c r="B131" i="31" a="1"/>
  <c r="B131" i="31" s="1"/>
  <c r="B115" i="31" a="1"/>
  <c r="B115" i="31" s="1"/>
  <c r="B99" i="31" a="1"/>
  <c r="B99" i="31" s="1"/>
  <c r="B83" i="31" a="1"/>
  <c r="B83" i="31" s="1"/>
  <c r="B67" i="31" a="1"/>
  <c r="B67" i="31" s="1"/>
  <c r="B51" i="31" a="1"/>
  <c r="B51" i="31" s="1"/>
  <c r="B35" i="31" a="1"/>
  <c r="B35" i="31" s="1"/>
  <c r="B19" i="31" a="1"/>
  <c r="B19" i="31" s="1"/>
  <c r="B3" i="31" a="1"/>
  <c r="B3" i="31" s="1"/>
  <c r="B8" i="31" a="1"/>
  <c r="B8" i="31" s="1"/>
  <c r="B161" i="31" a="1"/>
  <c r="B161" i="31" s="1"/>
  <c r="B49" i="31" a="1"/>
  <c r="B49" i="31" s="1"/>
  <c r="B171" i="31" a="1"/>
  <c r="B171" i="31" s="1"/>
  <c r="B91" i="31" a="1"/>
  <c r="B91" i="31" s="1"/>
  <c r="B11" i="31" a="1"/>
  <c r="B11" i="31" s="1"/>
  <c r="B112" i="31" a="1"/>
  <c r="B112" i="31" s="1"/>
  <c r="B32" i="31" a="1"/>
  <c r="B32" i="31" s="1"/>
  <c r="B149" i="31" a="1"/>
  <c r="B149" i="31" s="1"/>
  <c r="B69" i="31" a="1"/>
  <c r="B69" i="31" s="1"/>
  <c r="B154" i="31" a="1"/>
  <c r="B154" i="31" s="1"/>
  <c r="B74" i="31" a="1"/>
  <c r="B74" i="31" s="1"/>
  <c r="B175" i="31" a="1"/>
  <c r="B175" i="31" s="1"/>
  <c r="B95" i="31" a="1"/>
  <c r="B95" i="31" s="1"/>
  <c r="B168" i="31" a="1"/>
  <c r="B168" i="31" s="1"/>
  <c r="B136" i="31" a="1"/>
  <c r="B136" i="31" s="1"/>
  <c r="B104" i="31" a="1"/>
  <c r="B104" i="31" s="1"/>
  <c r="B72" i="31" a="1"/>
  <c r="B72" i="31" s="1"/>
  <c r="B40" i="31" a="1"/>
  <c r="B40" i="31" s="1"/>
  <c r="B173" i="31" a="1"/>
  <c r="B173" i="31" s="1"/>
  <c r="B141" i="31" a="1"/>
  <c r="B141" i="31" s="1"/>
  <c r="B109" i="31" a="1"/>
  <c r="B109" i="31" s="1"/>
  <c r="B77" i="31" a="1"/>
  <c r="B77" i="31" s="1"/>
  <c r="B61" i="31" a="1"/>
  <c r="B61" i="31" s="1"/>
  <c r="B45" i="31" a="1"/>
  <c r="B45" i="31" s="1"/>
  <c r="B29" i="31" a="1"/>
  <c r="B29" i="31" s="1"/>
  <c r="B13" i="31" a="1"/>
  <c r="B13" i="31" s="1"/>
  <c r="B194" i="31" a="1"/>
  <c r="B194" i="31" s="1"/>
  <c r="B178" i="31" a="1"/>
  <c r="B178" i="31" s="1"/>
  <c r="B162" i="31" a="1"/>
  <c r="B162" i="31" s="1"/>
  <c r="B146" i="31" a="1"/>
  <c r="B146" i="31" s="1"/>
  <c r="B130" i="31" a="1"/>
  <c r="B130" i="31" s="1"/>
  <c r="B114" i="31" a="1"/>
  <c r="B114" i="31" s="1"/>
  <c r="B98" i="31" a="1"/>
  <c r="B98" i="31" s="1"/>
  <c r="B82" i="31" a="1"/>
  <c r="B82" i="31" s="1"/>
  <c r="B66" i="31" a="1"/>
  <c r="B66" i="31" s="1"/>
  <c r="B50" i="31" a="1"/>
  <c r="B50" i="31" s="1"/>
  <c r="B34" i="31" a="1"/>
  <c r="B34" i="31" s="1"/>
  <c r="B18" i="31" a="1"/>
  <c r="B18" i="31" s="1"/>
  <c r="B2" i="31" a="1"/>
  <c r="B2" i="31" s="1"/>
  <c r="B81" i="31" a="1"/>
  <c r="B81" i="31" s="1"/>
  <c r="B176" i="31" a="1"/>
  <c r="B176" i="31" s="1"/>
  <c r="B53" i="31" a="1"/>
  <c r="B53" i="31" s="1"/>
  <c r="B200" i="31" a="1"/>
  <c r="B200" i="31" s="1"/>
  <c r="B24" i="31" a="1"/>
  <c r="B24" i="31" s="1"/>
  <c r="B199" i="31" a="1"/>
  <c r="B199" i="31" s="1"/>
  <c r="B167" i="31" a="1"/>
  <c r="B167" i="31" s="1"/>
  <c r="B151" i="31" a="1"/>
  <c r="B151" i="31" s="1"/>
  <c r="B135" i="31" a="1"/>
  <c r="B135" i="31" s="1"/>
  <c r="B119" i="31" a="1"/>
  <c r="B119" i="31" s="1"/>
  <c r="B103" i="31" a="1"/>
  <c r="B103" i="31" s="1"/>
  <c r="B87" i="31" a="1"/>
  <c r="B87" i="31" s="1"/>
  <c r="B71" i="31" a="1"/>
  <c r="B71" i="31" s="1"/>
  <c r="B55" i="31" a="1"/>
  <c r="B55" i="31" s="1"/>
  <c r="B39" i="31" a="1"/>
  <c r="B39" i="31" s="1"/>
  <c r="B23" i="31" a="1"/>
  <c r="B23" i="31" s="1"/>
  <c r="B7" i="31" a="1"/>
  <c r="B7" i="31" s="1"/>
  <c r="B177" i="31" a="1"/>
  <c r="B177" i="31" s="1"/>
  <c r="B97" i="31" a="1"/>
  <c r="B97" i="31" s="1"/>
  <c r="B187" i="31" a="1"/>
  <c r="B187" i="31" s="1"/>
  <c r="B107" i="31" a="1"/>
  <c r="B107" i="31" s="1"/>
  <c r="B27" i="31" a="1"/>
  <c r="B27" i="31" s="1"/>
  <c r="B128" i="31" a="1"/>
  <c r="B128" i="31" s="1"/>
  <c r="B48" i="31" a="1"/>
  <c r="B48" i="31" s="1"/>
  <c r="B165" i="31" a="1"/>
  <c r="B165" i="31" s="1"/>
  <c r="B85" i="31" a="1"/>
  <c r="B85" i="31" s="1"/>
  <c r="B170" i="31" a="1"/>
  <c r="B170" i="31" s="1"/>
  <c r="B90" i="31" a="1"/>
  <c r="B90" i="31" s="1"/>
  <c r="B191" i="31" a="1"/>
  <c r="B191" i="31" s="1"/>
  <c r="B111" i="31" a="1"/>
  <c r="B111" i="31" s="1"/>
  <c r="B184" i="31" a="1"/>
  <c r="B184" i="31" s="1"/>
  <c r="B152" i="31" a="1"/>
  <c r="B152" i="31" s="1"/>
  <c r="B120" i="31" a="1"/>
  <c r="B120" i="31" s="1"/>
  <c r="B88" i="31" a="1"/>
  <c r="B88" i="31" s="1"/>
  <c r="B56" i="31" a="1"/>
  <c r="B56" i="31" s="1"/>
  <c r="B189" i="31" a="1"/>
  <c r="B189" i="31" s="1"/>
  <c r="B157" i="31" a="1"/>
  <c r="B157" i="31" s="1"/>
  <c r="B125" i="31" a="1"/>
  <c r="B125" i="31" s="1"/>
  <c r="B93" i="31" a="1"/>
  <c r="B93" i="31" s="1"/>
  <c r="B183" i="31" a="1"/>
  <c r="B183" i="31" s="1"/>
  <c r="B188" i="31" a="1"/>
  <c r="B188" i="31" s="1"/>
  <c r="B172" i="31" a="1"/>
  <c r="B172" i="31" s="1"/>
  <c r="B156" i="31" a="1"/>
  <c r="B156" i="31" s="1"/>
  <c r="B140" i="31" a="1"/>
  <c r="B140" i="31" s="1"/>
  <c r="B124" i="31" a="1"/>
  <c r="B124" i="31" s="1"/>
  <c r="B108" i="31" a="1"/>
  <c r="B108" i="31" s="1"/>
  <c r="B92" i="31" a="1"/>
  <c r="B92" i="31" s="1"/>
  <c r="B76" i="31" a="1"/>
  <c r="B76" i="31" s="1"/>
  <c r="B60" i="31" a="1"/>
  <c r="B60" i="31" s="1"/>
  <c r="B44" i="31" a="1"/>
  <c r="B44" i="31" s="1"/>
  <c r="B28" i="31" a="1"/>
  <c r="B28" i="31" s="1"/>
  <c r="B31" i="31" l="1" a="1"/>
  <c r="B31" i="31" s="1"/>
  <c r="B4" i="31" a="1"/>
  <c r="B4" i="31" s="1"/>
  <c r="B79" i="31" a="1"/>
  <c r="B79" i="31" s="1"/>
  <c r="B10" i="31" a="1"/>
  <c r="B10" i="31" s="1"/>
  <c r="B5" i="31" a="1"/>
  <c r="B5" i="31" s="1"/>
  <c r="B58" i="31" a="1"/>
  <c r="B58" i="31" s="1"/>
  <c r="B6" i="31" a="1"/>
  <c r="B6" i="31" s="1"/>
  <c r="B138" i="31" a="1"/>
  <c r="B138" i="31" s="1"/>
  <c r="B38" i="31" a="1"/>
  <c r="B38" i="31" s="1"/>
  <c r="B65" i="31" a="1"/>
  <c r="B65" i="31" s="1"/>
  <c r="B54" i="31" a="1"/>
  <c r="B54" i="31" s="1"/>
  <c r="B12" i="31" a="1"/>
  <c r="B12" i="31" s="1"/>
  <c r="B102" i="31" a="1"/>
  <c r="B102" i="31" s="1"/>
  <c r="B118" i="31" a="1"/>
  <c r="B118" i="31" s="1"/>
  <c r="B185" i="31" a="1"/>
  <c r="B185" i="31" s="1"/>
  <c r="B160" i="31" a="1"/>
  <c r="B160" i="31" s="1"/>
  <c r="B52" i="31" a="1"/>
  <c r="B52" i="31" s="1"/>
  <c r="B59" i="31" a="1"/>
  <c r="B59" i="31" s="1"/>
  <c r="B166" i="31" a="1"/>
  <c r="B166" i="31" s="1"/>
  <c r="B86" i="31" a="1"/>
  <c r="B86" i="31" s="1"/>
  <c r="B70" i="31" a="1"/>
  <c r="B70" i="31" s="1"/>
  <c r="B182" i="31" a="1"/>
  <c r="B182" i="31" s="1"/>
  <c r="B198" i="31" a="1"/>
  <c r="B198" i="31" s="1"/>
  <c r="B1" i="31" a="1"/>
  <c r="B1" i="31" s="1"/>
  <c r="B134" i="31" a="1"/>
  <c r="B134" i="31" s="1"/>
  <c r="B150" i="31" a="1"/>
  <c r="B150" i="31" s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1025" xr:uid="{FBEA1292-C6C6-2444-AFCD-CC751BBB56FC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254000</xdr:colOff>
                <xdr:row>6</xdr:row>
                <xdr:rowOff>177800</xdr:rowOff>
              </from>
              <to>
                <xdr:col>1</xdr:col>
                <xdr:colOff>2209800</xdr:colOff>
                <xdr:row>6</xdr:row>
                <xdr:rowOff>723900</xdr:rowOff>
              </to>
            </anchor>
          </commentPr>
        </mc:Fallback>
      </mc:AlternateContent>
    </comment>
    <comment ref="A10" authorId="0" shapeId="1026" xr:uid="{135C97C0-0FA5-DD4B-B2C9-7209DE105B98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Da-1 für "Dächer / Decken gegen aussen" De-1 für "Übrige Decken"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127000</xdr:colOff>
                <xdr:row>7</xdr:row>
                <xdr:rowOff>228600</xdr:rowOff>
              </from>
              <to>
                <xdr:col>1</xdr:col>
                <xdr:colOff>2209800</xdr:colOff>
                <xdr:row>8</xdr:row>
                <xdr:rowOff>228600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2049" xr:uid="{363214B1-4FF8-B04A-839E-A60EDA2B8473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279400</xdr:colOff>
                <xdr:row>6</xdr:row>
                <xdr:rowOff>190500</xdr:rowOff>
              </from>
              <to>
                <xdr:col>1</xdr:col>
                <xdr:colOff>2197100</xdr:colOff>
                <xdr:row>6</xdr:row>
                <xdr:rowOff>723900</xdr:rowOff>
              </to>
            </anchor>
          </commentPr>
        </mc:Fallback>
      </mc:AlternateContent>
    </comment>
    <comment ref="A10" authorId="0" shapeId="2050" xr:uid="{49DE2E2B-A4AD-214B-9F2B-C4ACD943E20A}">
      <text>
        <r>
          <rPr>
            <b/>
            <sz val="9"/>
            <color rgb="FF000000"/>
            <rFont val="Segoe UI"/>
            <family val="2"/>
            <charset val="1"/>
          </rPr>
          <t xml:space="preserve">Beispiel: </t>
        </r>
        <r>
          <rPr>
            <b/>
            <sz val="9"/>
            <color rgb="FFFF0000"/>
            <rFont val="Segoe UI"/>
            <family val="2"/>
            <charset val="1"/>
          </rPr>
          <t>W-1 für "Wände gegen aussen" Wx-1 für "Übrige Wände"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241300</xdr:colOff>
                <xdr:row>7</xdr:row>
                <xdr:rowOff>266700</xdr:rowOff>
              </from>
              <to>
                <xdr:col>1</xdr:col>
                <xdr:colOff>2108200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3073" xr:uid="{2D1D0507-2AB0-874A-A4A8-84C5C8EFEAC1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266700</xdr:colOff>
                <xdr:row>4</xdr:row>
                <xdr:rowOff>177800</xdr:rowOff>
              </from>
              <to>
                <xdr:col>1</xdr:col>
                <xdr:colOff>2171700</xdr:colOff>
                <xdr:row>4</xdr:row>
                <xdr:rowOff>723900</xdr:rowOff>
              </to>
            </anchor>
          </commentPr>
        </mc:Fallback>
      </mc:AlternateContent>
    </comment>
    <comment ref="A7" authorId="0" shapeId="3074" xr:uid="{38A23817-42DA-E842-A1F1-66426CF9FC14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FF0000"/>
            <rFont val="Segoe UI"/>
            <family val="2"/>
            <charset val="1"/>
          </rPr>
          <t>Um ohne Fensterabzug zu arbeiten, darf kein Fenster eingebaut sein.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</xdr:colOff>
                <xdr:row>7</xdr:row>
                <xdr:rowOff>38100</xdr:rowOff>
              </from>
              <to>
                <xdr:col>4</xdr:col>
                <xdr:colOff>635000</xdr:colOff>
                <xdr:row>7</xdr:row>
                <xdr:rowOff>685800</xdr:rowOff>
              </to>
            </anchor>
          </commentPr>
        </mc:Fallback>
      </mc:AlternateContent>
    </comment>
    <comment ref="A9" authorId="0" shapeId="3075" xr:uid="{F8C8AA82-0C87-FE4F-8F7F-EFDF68B985D0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Fe-1 für "Fenster" T-1 für "Türen"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88900</xdr:colOff>
                <xdr:row>7</xdr:row>
                <xdr:rowOff>38100</xdr:rowOff>
              </from>
              <to>
                <xdr:col>1</xdr:col>
                <xdr:colOff>2159000</xdr:colOff>
                <xdr:row>7</xdr:row>
                <xdr:rowOff>685800</xdr:rowOff>
              </to>
            </anchor>
          </commentPr>
        </mc:Fallback>
      </mc:AlternateContent>
    </comment>
  </commentList>
</comments>
</file>

<file path=xl/comments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4097" xr:uid="{85A48A5D-9BC6-164C-980C-3BA01C318D69}">
      <text>
        <r>
          <rPr>
            <b/>
            <sz val="9"/>
            <color rgb="FF000000"/>
            <rFont val="Segoe UI"/>
            <family val="2"/>
            <charset val="1"/>
          </rPr>
          <t xml:space="preserve">Hinweis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6</xdr:row>
                <xdr:rowOff>190500</xdr:rowOff>
              </from>
              <to>
                <xdr:col>1</xdr:col>
                <xdr:colOff>2159000</xdr:colOff>
                <xdr:row>6</xdr:row>
                <xdr:rowOff>723900</xdr:rowOff>
              </to>
            </anchor>
          </commentPr>
        </mc:Fallback>
      </mc:AlternateContent>
    </comment>
    <comment ref="A10" authorId="0" shapeId="4098" xr:uid="{9FF3EA5B-1F7D-FC48-92F5-83702232A638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Bo-1 für "Böden gegen aussen" Bx-1 für "Sonstige Böden"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266700</xdr:colOff>
                <xdr:row>7</xdr:row>
                <xdr:rowOff>266700</xdr:rowOff>
              </from>
              <to>
                <xdr:col>1</xdr:col>
                <xdr:colOff>2146300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5121" xr:uid="{DF1C35BB-0EDE-7949-B3DD-A6005BF9D446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A7" authorId="0" shapeId="5122" xr:uid="{5D38C2F0-0979-1B47-A6C7-EFE8E26981A3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WL-1 für "Wärmebrücken linear " WR-1 für "Wärmebrücken punktförmig"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4</xdr:row>
                <xdr:rowOff>254000</xdr:rowOff>
              </from>
              <to>
                <xdr:col>1</xdr:col>
                <xdr:colOff>2171700</xdr:colOff>
                <xdr:row>5</xdr:row>
                <xdr:rowOff>241300</xdr:rowOff>
              </to>
            </anchor>
          </commentPr>
        </mc:Fallback>
      </mc:AlternateContent>
    </comment>
  </commentList>
</comments>
</file>

<file path=xl/comments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6145" xr:uid="{7CC62063-07CB-0844-8552-86E9DF954489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WE-1, WE-2, WE-3, WE-4, WE-5-1 für "Wärmeerzeuger"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482600</xdr:colOff>
                <xdr:row>1</xdr:row>
                <xdr:rowOff>50800</xdr:rowOff>
              </from>
              <to>
                <xdr:col>4</xdr:col>
                <xdr:colOff>825500</xdr:colOff>
                <xdr:row>1</xdr:row>
                <xdr:rowOff>546100</xdr:rowOff>
              </to>
            </anchor>
          </commentPr>
        </mc:Fallback>
      </mc:AlternateContent>
    </comment>
  </commentList>
</comments>
</file>

<file path=xl/comments7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7169" xr:uid="{1E40D2C6-2947-DA48-B165-31DC1302904E}">
      <text>
        <r>
          <rPr>
            <b/>
            <sz val="9"/>
            <color rgb="FF000000"/>
            <rFont val="Segoe UI"/>
            <family val="2"/>
            <charset val="1"/>
          </rPr>
          <t xml:space="preserve">Hinweis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317500</xdr:colOff>
                <xdr:row>5</xdr:row>
                <xdr:rowOff>139700</xdr:rowOff>
              </from>
              <to>
                <xdr:col>1</xdr:col>
                <xdr:colOff>2032000</xdr:colOff>
                <xdr:row>6</xdr:row>
                <xdr:rowOff>0</xdr:rowOff>
              </to>
            </anchor>
          </commentPr>
        </mc:Fallback>
      </mc:AlternateContent>
    </comment>
    <comment ref="A9" authorId="0" shapeId="7170" xr:uid="{A17AFF50-530A-BC4B-B9F6-2D3E65178F2A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HE-1 für "Versorgter Bereich Heizung"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165100</xdr:colOff>
                <xdr:row>7</xdr:row>
                <xdr:rowOff>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8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8193" xr:uid="{1E07E6E0-9D89-694A-A257-873EE1C4901D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5</xdr:row>
                <xdr:rowOff>152400</xdr:rowOff>
              </from>
              <to>
                <xdr:col>1</xdr:col>
                <xdr:colOff>2082800</xdr:colOff>
                <xdr:row>6</xdr:row>
                <xdr:rowOff>0</xdr:rowOff>
              </to>
            </anchor>
          </commentPr>
        </mc:Fallback>
      </mc:AlternateContent>
    </comment>
    <comment ref="A9" authorId="0" shapeId="8194" xr:uid="{C966DFD3-D749-8C4F-B79E-183A89292221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WW-1 für "Versorgter Bereich Warmwasser"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6</xdr:row>
                <xdr:rowOff>647700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9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9217" xr:uid="{4151994D-CB8F-DF4D-ADAC-497802A8C995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
</t>
        </r>
        <r>
          <rPr>
            <b/>
            <sz val="9"/>
            <color rgb="FFFF0000"/>
            <rFont val="Segoe UI"/>
            <family val="2"/>
            <charset val="1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381000</xdr:colOff>
                <xdr:row>4</xdr:row>
                <xdr:rowOff>203200</xdr:rowOff>
              </from>
              <to>
                <xdr:col>1</xdr:col>
                <xdr:colOff>2209800</xdr:colOff>
                <xdr:row>5</xdr:row>
                <xdr:rowOff>0</xdr:rowOff>
              </to>
            </anchor>
          </commentPr>
        </mc:Fallback>
      </mc:AlternateContent>
    </comment>
    <comment ref="A9" authorId="0" shapeId="9218" xr:uid="{406185EA-968F-0F4C-A21C-0157DAC07931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GE-1 für "Geräte und Installationen"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139700</xdr:colOff>
                <xdr:row>6</xdr:row>
                <xdr:rowOff>0</xdr:rowOff>
              </from>
              <to>
                <xdr:col>1</xdr:col>
                <xdr:colOff>2006600</xdr:colOff>
                <xdr:row>8</xdr:row>
                <xdr:rowOff>0</xdr:rowOff>
              </to>
            </anchor>
          </commentPr>
        </mc:Fallback>
      </mc:AlternateContent>
    </comment>
    <comment ref="L9" authorId="0" shapeId="9219" xr:uid="{A4DBD656-B9F0-F34D-A100-739A73354C08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50800</xdr:colOff>
                <xdr:row>4</xdr:row>
                <xdr:rowOff>88900</xdr:rowOff>
              </from>
              <to>
                <xdr:col>9</xdr:col>
                <xdr:colOff>660400</xdr:colOff>
                <xdr:row>6</xdr:row>
                <xdr:rowOff>0</xdr:rowOff>
              </to>
            </anchor>
          </commentPr>
        </mc:Fallback>
      </mc:AlternateContent>
    </comment>
  </commentList>
</comments>
</file>

<file path=xl/comments10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10241" xr:uid="{7F33A04C-BC94-544F-B63D-F5299A5A58BE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</xdr:colOff>
                <xdr:row>1</xdr:row>
                <xdr:rowOff>50800</xdr:rowOff>
              </from>
              <to>
                <xdr:col>3</xdr:col>
                <xdr:colOff>292100</xdr:colOff>
                <xdr:row>2</xdr:row>
                <xdr:rowOff>101600</xdr:rowOff>
              </to>
            </anchor>
          </commentPr>
        </mc:Fallback>
      </mc:AlternateContent>
    </comment>
    <comment ref="A4" authorId="0" shapeId="10242" xr:uid="{406CEA38-D717-9440-AECB-A1B39678FBC1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KE-1 für "Kleingeräte und Elektronik"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50800</xdr:colOff>
                <xdr:row>2</xdr:row>
                <xdr:rowOff>152400</xdr:rowOff>
              </from>
              <to>
                <xdr:col>3</xdr:col>
                <xdr:colOff>292100</xdr:colOff>
                <xdr:row>2</xdr:row>
                <xdr:rowOff>406400</xdr:rowOff>
              </to>
            </anchor>
          </commentPr>
        </mc:Fallback>
      </mc:AlternateContent>
    </comment>
    <comment ref="E4" authorId="0" shapeId="10243" xr:uid="{666E3586-A405-5B4A-B581-F1EE24703A40}">
      <text>
        <r>
          <rPr>
            <b/>
            <sz val="9"/>
            <color rgb="FF000000"/>
            <rFont val="Segoe UI"/>
            <family val="2"/>
            <charset val="1"/>
          </rPr>
          <t>Hinweis:</t>
        </r>
        <r>
          <rPr>
            <b/>
            <sz val="9"/>
            <color rgb="FFFF0000"/>
            <rFont val="Segoe UI"/>
            <family val="2"/>
            <charset val="1"/>
          </rPr>
          <t xml:space="preserve">
</t>
        </r>
        <r>
          <rPr>
            <b/>
            <sz val="9"/>
            <color rgb="FFFF0000"/>
            <rFont val="Segoe UI"/>
            <family val="2"/>
            <charset val="1"/>
          </rPr>
          <t>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114300</xdr:rowOff>
              </from>
              <to>
                <xdr:col>6</xdr:col>
                <xdr:colOff>12700</xdr:colOff>
                <xdr:row>2</xdr:row>
                <xdr:rowOff>419100</xdr:rowOff>
              </to>
            </anchor>
          </commentPr>
        </mc:Fallback>
      </mc:AlternateContent>
    </comment>
    <comment ref="K4" authorId="0" shapeId="10244" xr:uid="{32893C0D-191D-8F4A-8814-28C12FB9BC7F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876300</xdr:colOff>
                <xdr:row>1</xdr:row>
                <xdr:rowOff>76200</xdr:rowOff>
              </from>
              <to>
                <xdr:col>12</xdr:col>
                <xdr:colOff>393700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1265" xr:uid="{BFAA92FB-1DEC-4B4F-A018-24E17ECF3C99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BL-1 für "Beleuchtung"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114300</xdr:rowOff>
              </from>
              <to>
                <xdr:col>2</xdr:col>
                <xdr:colOff>482600</xdr:colOff>
                <xdr:row>2</xdr:row>
                <xdr:rowOff>304800</xdr:rowOff>
              </to>
            </anchor>
          </commentPr>
        </mc:Fallback>
      </mc:AlternateContent>
    </comment>
    <comment ref="E4" authorId="0" shapeId="11266" xr:uid="{CBB55807-2B54-FF47-B687-C669DB813138}">
      <text>
        <r>
          <rPr>
            <b/>
            <sz val="9"/>
            <color rgb="FF000000"/>
            <rFont val="Segoe UI"/>
            <family val="2"/>
            <charset val="1"/>
          </rPr>
          <t>Hinweis:</t>
        </r>
        <r>
          <rPr>
            <b/>
            <sz val="9"/>
            <color rgb="FFFF0000"/>
            <rFont val="Segoe UI"/>
            <family val="2"/>
            <charset val="1"/>
          </rPr>
          <t xml:space="preserve">
</t>
        </r>
        <r>
          <rPr>
            <b/>
            <sz val="9"/>
            <color rgb="FFFF0000"/>
            <rFont val="Segoe UI"/>
            <family val="2"/>
            <charset val="1"/>
          </rPr>
          <t>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88900</xdr:rowOff>
              </from>
              <to>
                <xdr:col>7</xdr:col>
                <xdr:colOff>711200</xdr:colOff>
                <xdr:row>2</xdr:row>
                <xdr:rowOff>381000</xdr:rowOff>
              </to>
            </anchor>
          </commentPr>
        </mc:Fallback>
      </mc:AlternateContent>
    </comment>
    <comment ref="L4" authorId="0" shapeId="11267" xr:uid="{50A32E9B-1CCC-034B-8665-5D7355F20E09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622300</xdr:colOff>
                <xdr:row>1</xdr:row>
                <xdr:rowOff>25400</xdr:rowOff>
              </from>
              <to>
                <xdr:col>12</xdr:col>
                <xdr:colOff>114300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2289" xr:uid="{1320DA3A-71E0-7140-927C-005EBAC820CA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
</t>
        </r>
        <r>
          <rPr>
            <b/>
            <sz val="9"/>
            <color rgb="FFFF0000"/>
            <rFont val="Segoe UI"/>
            <family val="2"/>
            <charset val="1"/>
          </rPr>
          <t>Tabelle nur für SIA Kat. III und IV (Schulen und Verwaltung).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419100</xdr:colOff>
                <xdr:row>4</xdr:row>
                <xdr:rowOff>215900</xdr:rowOff>
              </from>
              <to>
                <xdr:col>1</xdr:col>
                <xdr:colOff>1993900</xdr:colOff>
                <xdr:row>4</xdr:row>
                <xdr:rowOff>723900</xdr:rowOff>
              </to>
            </anchor>
          </commentPr>
        </mc:Fallback>
      </mc:AlternateContent>
    </comment>
    <comment ref="A9" authorId="0" shapeId="12290" xr:uid="{A7D40F45-2F76-3E41-BF67-F7713896B6EA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BG-1 für "Betriebseinrichtungen und Geräte"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393700</xdr:colOff>
                <xdr:row>6</xdr:row>
                <xdr:rowOff>0</xdr:rowOff>
              </from>
              <to>
                <xdr:col>1</xdr:col>
                <xdr:colOff>1866900</xdr:colOff>
                <xdr:row>9</xdr:row>
                <xdr:rowOff>12700</xdr:rowOff>
              </to>
            </anchor>
          </commentPr>
        </mc:Fallback>
      </mc:AlternateContent>
    </comment>
  </commentList>
</comments>
</file>

<file path=xl/comments1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3313" xr:uid="{850A055D-BC74-8646-8E69-3D5999928074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127000</xdr:colOff>
                <xdr:row>3</xdr:row>
                <xdr:rowOff>114300</xdr:rowOff>
              </from>
              <to>
                <xdr:col>3</xdr:col>
                <xdr:colOff>1879600</xdr:colOff>
                <xdr:row>4</xdr:row>
                <xdr:rowOff>469900</xdr:rowOff>
              </to>
            </anchor>
          </commentPr>
        </mc:Fallback>
      </mc:AlternateContent>
    </comment>
    <comment ref="A8" authorId="0" shapeId="13314" xr:uid="{AD023625-B015-F54C-BB3C-AF47E3C47631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215900</xdr:colOff>
                <xdr:row>5</xdr:row>
                <xdr:rowOff>533400</xdr:rowOff>
              </from>
              <to>
                <xdr:col>3</xdr:col>
                <xdr:colOff>1054100</xdr:colOff>
                <xdr:row>6</xdr:row>
                <xdr:rowOff>101600</xdr:rowOff>
              </to>
            </anchor>
          </commentPr>
        </mc:Fallback>
      </mc:AlternateContent>
    </comment>
    <comment ref="I8" authorId="0" shapeId="13315" xr:uid="{FF1D2143-88A7-8F43-A2E9-39EC870143B2}">
      <text>
        <r>
          <rPr>
            <b/>
            <sz val="9"/>
            <color rgb="FF000000"/>
            <rFont val="Segoe UI"/>
            <family val="2"/>
            <charset val="1"/>
          </rPr>
          <t>Hinweis: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b/>
            <sz val="9"/>
            <color rgb="FFFF0000"/>
            <rFont val="Segoe UI"/>
            <family val="2"/>
            <charset val="1"/>
          </rPr>
          <t xml:space="preserve">Berücksichtigungsanteil erhöht bei PVOpti-Nachweis 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139700</xdr:colOff>
                <xdr:row>5</xdr:row>
                <xdr:rowOff>317500</xdr:rowOff>
              </from>
              <to>
                <xdr:col>11</xdr:col>
                <xdr:colOff>0</xdr:colOff>
                <xdr:row>6</xdr:row>
                <xdr:rowOff>114300</xdr:rowOff>
              </to>
            </anchor>
          </commentPr>
        </mc:Fallback>
      </mc:AlternateContent>
    </comment>
  </commentList>
</comments>
</file>

<file path=xl/comments1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4337" xr:uid="{9D402C08-00FD-8F45-BF68-02D46F3EFE95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762000</xdr:colOff>
                <xdr:row>3</xdr:row>
                <xdr:rowOff>114300</xdr:rowOff>
              </from>
              <to>
                <xdr:col>2</xdr:col>
                <xdr:colOff>2197100</xdr:colOff>
                <xdr:row>4</xdr:row>
                <xdr:rowOff>469900</xdr:rowOff>
              </to>
            </anchor>
          </commentPr>
        </mc:Fallback>
      </mc:AlternateContent>
    </comment>
    <comment ref="A10" authorId="0" shapeId="14338" xr:uid="{598B591C-596E-DA45-8157-F4992A2109CC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EM-1 für "Energiemanagementsystem (EMS)"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38100</xdr:colOff>
                <xdr:row>6</xdr:row>
                <xdr:rowOff>101600</xdr:rowOff>
              </from>
              <to>
                <xdr:col>4</xdr:col>
                <xdr:colOff>685800</xdr:colOff>
                <xdr:row>8</xdr:row>
                <xdr:rowOff>101600</xdr:rowOff>
              </to>
            </anchor>
          </commentPr>
        </mc:Fallback>
      </mc:AlternateContent>
    </comment>
    <comment ref="A18" authorId="0" shapeId="14339" xr:uid="{DBA29020-0ECC-1B4A-8988-6736931949FD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0</xdr:colOff>
                <xdr:row>14</xdr:row>
                <xdr:rowOff>139700</xdr:rowOff>
              </from>
              <to>
                <xdr:col>4</xdr:col>
                <xdr:colOff>622300</xdr:colOff>
                <xdr:row>16</xdr:row>
                <xdr:rowOff>152400</xdr:rowOff>
              </to>
            </anchor>
          </commentPr>
        </mc:Fallback>
      </mc:AlternateContent>
    </comment>
  </commentList>
</comments>
</file>

<file path=xl/comments1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5361" xr:uid="{4E9F26C2-A74D-054F-9CD7-29DB13338CF3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WV-1 für "Weitere Verbraucher"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139700</xdr:rowOff>
              </from>
              <to>
                <xdr:col>2</xdr:col>
                <xdr:colOff>495300</xdr:colOff>
                <xdr:row>2</xdr:row>
                <xdr:rowOff>152400</xdr:rowOff>
              </to>
            </anchor>
          </commentPr>
        </mc:Fallback>
      </mc:AlternateContent>
    </comment>
    <comment ref="K4" authorId="0" shapeId="15362" xr:uid="{FF965272-8549-B448-A24F-1A326727DFFF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Gebäudezugehörig wählen, um den Verbrauch in der Energie Etikette zu berücksichtigen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571500</xdr:colOff>
                <xdr:row>0</xdr:row>
                <xdr:rowOff>0</xdr:rowOff>
              </from>
              <to>
                <xdr:col>10</xdr:col>
                <xdr:colOff>1028700</xdr:colOff>
                <xdr:row>3</xdr:row>
                <xdr:rowOff>304800</xdr:rowOff>
              </to>
            </anchor>
          </commentPr>
        </mc:Fallback>
      </mc:AlternateContent>
    </comment>
  </commentList>
</comments>
</file>

<file path=xl/comments1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  <author>Pahs Markus</author>
  </authors>
  <commentList>
    <comment ref="A4" authorId="0" shapeId="16385" xr:uid="{3EF778EE-8B31-C345-8659-B66168663F9C}">
      <text>
        <r>
          <rPr>
            <b/>
            <sz val="9"/>
            <color rgb="FF000000"/>
            <rFont val="Segoe UI"/>
            <family val="2"/>
            <charset val="1"/>
          </rPr>
          <t xml:space="preserve">Hinweis: </t>
        </r>
        <r>
          <rPr>
            <b/>
            <sz val="9"/>
            <color rgb="FFFF0000"/>
            <rFont val="Segoe UI"/>
            <family val="2"/>
            <charset val="1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K7" authorId="1" shapeId="16386" xr:uid="{1F8BEB5B-F16D-D74B-BB3B-97FED3E2D171}">
      <text>
        <r>
          <rPr>
            <sz val="9"/>
            <color rgb="FF000000"/>
            <rFont val="Segoe UI"/>
            <family val="2"/>
            <charset val="1"/>
          </rPr>
          <t>Bei EFH und MFH bis 2'000 m² oder bei Verwaltung und Schulen bis 1'000 m² kann eine stark vereinfachte Lüftungsberechnung basierend auf Kleinanlagen mit Standardwerten durchgeführt werden. Für alle übrigen Fälle ist eine externe Berechnung durchzuführen.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11</xdr:col>
                <xdr:colOff>177800</xdr:colOff>
                <xdr:row>3</xdr:row>
                <xdr:rowOff>368300</xdr:rowOff>
              </from>
              <to>
                <xdr:col>14</xdr:col>
                <xdr:colOff>1333500</xdr:colOff>
                <xdr:row>4</xdr:row>
                <xdr:rowOff>342900</xdr:rowOff>
              </to>
            </anchor>
          </commentPr>
        </mc:Fallback>
      </mc:AlternateContent>
    </comment>
    <comment ref="A8" authorId="0" shapeId="16387" xr:uid="{4A47C842-1F2D-7D42-BE1C-333FB03A7DC4}">
      <text>
        <r>
          <rPr>
            <b/>
            <sz val="9"/>
            <color rgb="FF000000"/>
            <rFont val="Segoe UI"/>
            <family val="2"/>
            <charset val="1"/>
          </rPr>
          <t>Beispiel:</t>
        </r>
        <r>
          <rPr>
            <b/>
            <sz val="9"/>
            <color rgb="FFFF0000"/>
            <rFont val="Segoe UI"/>
            <family val="2"/>
            <charset val="1"/>
          </rPr>
          <t xml:space="preserve"> LU-1 für "Lüftung"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5</xdr:row>
                <xdr:rowOff>63500</xdr:rowOff>
              </from>
              <to>
                <xdr:col>2</xdr:col>
                <xdr:colOff>317500</xdr:colOff>
                <xdr:row>6</xdr:row>
                <xdr:rowOff>127000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<sst xmlns="http://purl.oclc.org/ooxml/spreadsheetml/main" count="1198" uniqueCount="812">
  <si>
    <t>Projektbezeichnung</t>
  </si>
  <si>
    <t>Auftraggeber</t>
  </si>
  <si>
    <t>Anrede</t>
  </si>
  <si>
    <t>E-Mail</t>
  </si>
  <si>
    <t>Adresse</t>
  </si>
  <si>
    <t>Land</t>
  </si>
  <si>
    <t>Gebäude</t>
  </si>
  <si>
    <t>Baujahr</t>
  </si>
  <si>
    <t>Energiebezugsfläche [m²]</t>
  </si>
  <si>
    <t>Lichte Raumhöhe [m]</t>
  </si>
  <si>
    <t>Anzahl der Vollgeschosse</t>
  </si>
  <si>
    <t>Gebäudebreite [m]</t>
  </si>
  <si>
    <t>Fassadengliederung</t>
  </si>
  <si>
    <t>Ort</t>
  </si>
  <si>
    <t>PLZ</t>
  </si>
  <si>
    <t>Projekt</t>
  </si>
  <si>
    <t>Kürzel</t>
  </si>
  <si>
    <t>OtherConsumerType:</t>
  </si>
  <si>
    <t>Beschreibung</t>
  </si>
  <si>
    <t>Ausrichtung</t>
  </si>
  <si>
    <t>WS14ExpertCodes:</t>
  </si>
  <si>
    <t>Typ</t>
  </si>
  <si>
    <t>Zustand</t>
  </si>
  <si>
    <t>Beschreibungen im Ist-Zustand</t>
  </si>
  <si>
    <t>Beschreibung Gebäudetechnik</t>
  </si>
  <si>
    <t>Beschreibung der Gebäudehülle</t>
  </si>
  <si>
    <t>Gebäudehülle</t>
  </si>
  <si>
    <t>Bezeichnung</t>
  </si>
  <si>
    <t>Energieträger</t>
  </si>
  <si>
    <t>Versorgte Verteilsysteme</t>
  </si>
  <si>
    <t>Aufstellort</t>
  </si>
  <si>
    <t>kWh</t>
  </si>
  <si>
    <t>Hydraulischer Abgleich</t>
  </si>
  <si>
    <t>Devices:</t>
  </si>
  <si>
    <t>Einheit</t>
  </si>
  <si>
    <t>SpExpertCodes:</t>
  </si>
  <si>
    <t>Wärmeerzeuger (max. 5)</t>
  </si>
  <si>
    <t>Art der Wärmeabgabe</t>
  </si>
  <si>
    <t>Überdimensionierung [—]</t>
  </si>
  <si>
    <t>Anteil Heizung [%]</t>
  </si>
  <si>
    <t>Anteil Warmwasser [%]</t>
  </si>
  <si>
    <t>Name 1</t>
  </si>
  <si>
    <t>Name 2</t>
  </si>
  <si>
    <t>Postfach</t>
  </si>
  <si>
    <t>Telefon 1</t>
  </si>
  <si>
    <t>Telefon 2</t>
  </si>
  <si>
    <t>Gemeinde</t>
  </si>
  <si>
    <t>Strasse</t>
  </si>
  <si>
    <t>Hausnummer</t>
  </si>
  <si>
    <t>Gebäudebezeichnung</t>
  </si>
  <si>
    <t>Parzellen-Nummer</t>
  </si>
  <si>
    <t>Bauweise Gebäude</t>
  </si>
  <si>
    <t>Fensterflächen automatisch abziehen</t>
  </si>
  <si>
    <t>Qualität</t>
  </si>
  <si>
    <t>Verbrauch pro Jahr [kWh/a]</t>
  </si>
  <si>
    <t>Ausrichtung [°]</t>
  </si>
  <si>
    <t>Ausbaugrad</t>
  </si>
  <si>
    <t>Energiemanagement und Speicherbatterie (max. 1)</t>
  </si>
  <si>
    <t>Beleuchtung</t>
  </si>
  <si>
    <t>Geräte und Installationen</t>
  </si>
  <si>
    <t>Weitere Verbraucher</t>
  </si>
  <si>
    <t>Leistung [kW]</t>
  </si>
  <si>
    <t>Jahreslaufzeit [h]</t>
  </si>
  <si>
    <t>Verbrauchsdaten Elektrizität</t>
  </si>
  <si>
    <t>∅ Jahresverbrauch</t>
  </si>
  <si>
    <t>Grundrisstyp</t>
  </si>
  <si>
    <t>Klimastation</t>
  </si>
  <si>
    <t>Stromtarif-Anteile</t>
  </si>
  <si>
    <t>Hochtarif</t>
  </si>
  <si>
    <t>Mitteltarif</t>
  </si>
  <si>
    <t>Niedertarif</t>
  </si>
  <si>
    <t>Lage der horizontalen Verteilleitungen</t>
  </si>
  <si>
    <t>Versorgter Bereich Heizung (max. 3 Bereiche)</t>
  </si>
  <si>
    <t>Versorgter Bereich Warmwasser (max. 3 Bereiche)</t>
  </si>
  <si>
    <t>Sm³</t>
  </si>
  <si>
    <t>Ster</t>
  </si>
  <si>
    <t>kg</t>
  </si>
  <si>
    <t>m³</t>
  </si>
  <si>
    <t>l</t>
  </si>
  <si>
    <t>Verteilleitungen gedämmt</t>
  </si>
  <si>
    <t>MJ</t>
  </si>
  <si>
    <t>Teilbeheizungsgrad Kellergeschoss</t>
  </si>
  <si>
    <t>Nutzungsgrad Heizung</t>
  </si>
  <si>
    <t>Nutzungsgrad Warmwasser</t>
  </si>
  <si>
    <t>Gebäudetechnik</t>
  </si>
  <si>
    <t>EGID_EDID-Gruppe</t>
  </si>
  <si>
    <t>EGID</t>
  </si>
  <si>
    <t>Wände</t>
  </si>
  <si>
    <t>Wände gegen aussen</t>
  </si>
  <si>
    <t>Übrige Wände</t>
  </si>
  <si>
    <t>Erzeugungsanlagen</t>
  </si>
  <si>
    <t>Mögliche Verbesserungen</t>
  </si>
  <si>
    <t>Warmwasserverteilung und -amaturen</t>
  </si>
  <si>
    <t>Bo-4</t>
  </si>
  <si>
    <t>Bo-3</t>
  </si>
  <si>
    <t>Bo-2</t>
  </si>
  <si>
    <t>Bauteilheizung</t>
  </si>
  <si>
    <t>Bo-1</t>
  </si>
  <si>
    <t>WS5ExpertCodes:</t>
  </si>
  <si>
    <t>VL Nachbarzone</t>
  </si>
  <si>
    <t>HpExpertCodes:</t>
  </si>
  <si>
    <t>Bo-5</t>
  </si>
  <si>
    <t>Dächer und Decken</t>
  </si>
  <si>
    <t>Dachtyp</t>
  </si>
  <si>
    <t>Dächer / Decken gegen aussen</t>
  </si>
  <si>
    <t>Übrige Decken</t>
  </si>
  <si>
    <t>Fenster und Türen</t>
  </si>
  <si>
    <t>g-Wert [—]</t>
  </si>
  <si>
    <t>Glasanteil [—]</t>
  </si>
  <si>
    <t>Verschattung [—]</t>
  </si>
  <si>
    <t>BasementHeatingLevel:</t>
  </si>
  <si>
    <t>Eingebaut in</t>
  </si>
  <si>
    <t>Böden</t>
  </si>
  <si>
    <t>Übrige Böden</t>
  </si>
  <si>
    <t>Böden gegen aussen</t>
  </si>
  <si>
    <t>Wärmebrücken</t>
  </si>
  <si>
    <t>Länge [m]</t>
  </si>
  <si>
    <t>Psi-Wert Ψ [W/(mK)]</t>
  </si>
  <si>
    <t>Chi-Wert Χ [W/K]</t>
  </si>
  <si>
    <t>Anzahl [—]</t>
  </si>
  <si>
    <t>b-Faktor [—]</t>
  </si>
  <si>
    <t>Wärmeverteilung und -abgabe Heizung</t>
  </si>
  <si>
    <t>WE-1 Deckungsgrad [%]</t>
  </si>
  <si>
    <t>WE-2 Deckungsgrad [%]</t>
  </si>
  <si>
    <t>WE-3 Deckungsgrad [%]</t>
  </si>
  <si>
    <t>WE-4 Deckungsgrad [%]</t>
  </si>
  <si>
    <t>WE-5 Deckungsgrad [%]</t>
  </si>
  <si>
    <t>Dämmdicke [cm]</t>
  </si>
  <si>
    <t>Wärmeleitfähigkeit Dämmung [W/(mK)]</t>
  </si>
  <si>
    <t>Vorlauf/Rücklauf [°C]</t>
  </si>
  <si>
    <t>Durchschnittlicher Verbrauch pro Jahr</t>
  </si>
  <si>
    <t>WS18ExpertCodes:</t>
  </si>
  <si>
    <t>WV-1</t>
  </si>
  <si>
    <t>Kleingeräte und Elektronik</t>
  </si>
  <si>
    <t>Betriebseinrichtungen und Geräte</t>
  </si>
  <si>
    <t>Eigenverbrauch mit einem externen Tool berechnet</t>
  </si>
  <si>
    <t>Template R6.8 generiert am:</t>
  </si>
  <si>
    <t>EDID</t>
  </si>
  <si>
    <t>PLZ/Ort</t>
  </si>
  <si>
    <t>Raumtemperatur [°C]</t>
  </si>
  <si>
    <t>Elektrizitätsbedarf pro Jahr [MJ/m²]</t>
  </si>
  <si>
    <t>Regelungszuschlag für Raumtemperatur [K]</t>
  </si>
  <si>
    <t>Personenfläche [m²/P]</t>
  </si>
  <si>
    <t>Wärmeabgabe pro Person [W/P]</t>
  </si>
  <si>
    <t>Bestbekannte Werte Klimastation</t>
  </si>
  <si>
    <t>Höhe ü. M.</t>
  </si>
  <si>
    <t>WS2ExpertCodes:</t>
  </si>
  <si>
    <t>Lüftung</t>
  </si>
  <si>
    <t>Anzahl Räume mit Zuluft/Anzahl Personen</t>
  </si>
  <si>
    <t>Ventilatorantrieb mit</t>
  </si>
  <si>
    <t>Flächenbezogener Aussenluft-Volumenstrom [m³/(h m²)]</t>
  </si>
  <si>
    <t>Thermisch wirksame Aussenluftrate [m³/h]</t>
  </si>
  <si>
    <t>Strombedarf Lüftung + Vereisungsschutz [kWh]</t>
  </si>
  <si>
    <t>Strombedarf Kälteförderung [kWh]</t>
  </si>
  <si>
    <t>Strombedarf Klima und Befeuchtung [kWh]</t>
  </si>
  <si>
    <t>Wärmerückgewinnungs-Wärmetauscher</t>
  </si>
  <si>
    <t>Standard-Lüftungsanlagentyp</t>
  </si>
  <si>
    <t>Angaben bei Standard-Lüftungsanlagen</t>
  </si>
  <si>
    <t>Nutzung 1</t>
  </si>
  <si>
    <t>Nutzung 2</t>
  </si>
  <si>
    <t>Nutzung 3</t>
  </si>
  <si>
    <t>Nutzungsart</t>
  </si>
  <si>
    <t>Fläche [m²]</t>
  </si>
  <si>
    <t>Fläche [%]</t>
  </si>
  <si>
    <t>Standard-Nutzungsdaten überschreiben</t>
  </si>
  <si>
    <t>Reduktionsfaktor Elektrizität</t>
  </si>
  <si>
    <t>Gesamt</t>
  </si>
  <si>
    <t>∅ Jahresverbrauch [kWh/a]</t>
  </si>
  <si>
    <t>Gebäudenutzungen</t>
  </si>
  <si>
    <t>Nutzungsart II</t>
  </si>
  <si>
    <t>Warmhaltung</t>
  </si>
  <si>
    <t>Speicher (max. 10)</t>
  </si>
  <si>
    <t>Gesamtspeichervolumen in Liter</t>
  </si>
  <si>
    <t>Warmwasserspeichervolumen in Liter</t>
  </si>
  <si>
    <t>Ausführungsqualität Speicheranschlüsse</t>
  </si>
  <si>
    <t>Verhältnis der Speicherhöhe zum Speicherdurchmesser</t>
  </si>
  <si>
    <t>WE-1</t>
  </si>
  <si>
    <t>WE-2</t>
  </si>
  <si>
    <t>WE-3</t>
  </si>
  <si>
    <t>WE-4</t>
  </si>
  <si>
    <t>WE-5</t>
  </si>
  <si>
    <t>Hauptwärmeerzeuger</t>
  </si>
  <si>
    <t>Präsenzzeit pro Tag [h/d]</t>
  </si>
  <si>
    <t>Energiebedarf Warmwasser [kWh/m²]</t>
  </si>
  <si>
    <t>Heizungsspeichervolumen in Liter</t>
  </si>
  <si>
    <t>WS20ExpertCodes:</t>
  </si>
  <si>
    <t>EMS_ExpertCode:</t>
  </si>
  <si>
    <t>Jahr der letzten Gesamtsanierung</t>
  </si>
  <si>
    <t>∅ Ertrag aus Photovoltaik und / oder Wärmekraftkopplung [kWh/a]</t>
  </si>
  <si>
    <t>Netzeinspeisung [kWh/a]</t>
  </si>
  <si>
    <t xml:space="preserve">Wärmeerzeuger </t>
  </si>
  <si>
    <t>Netzeinspeisung [%]</t>
  </si>
  <si>
    <t>Stromproduktion (Jahresertrag) [kWh]</t>
  </si>
  <si>
    <t>Priorität</t>
  </si>
  <si>
    <t>WS17ExpertCodes:</t>
  </si>
  <si>
    <t>Elektrizitätsprod. mit PVopti</t>
  </si>
  <si>
    <t>Berechnungsgrundlage</t>
  </si>
  <si>
    <t>Nutzungsdauer [Jahre]</t>
  </si>
  <si>
    <t>HeatUnit:</t>
  </si>
  <si>
    <t>Inbetriebnahmejahr</t>
  </si>
  <si>
    <t>Anstellwinkel [°]</t>
  </si>
  <si>
    <t>Instandhaltungskosten [CHF/a]</t>
  </si>
  <si>
    <t>Installierte Leistung [kWp]</t>
  </si>
  <si>
    <t>Nutzungsgrad elektrisch</t>
  </si>
  <si>
    <t>Werterhalt</t>
  </si>
  <si>
    <t>Investition</t>
  </si>
  <si>
    <t>Energiemanagementsystem (EMS)</t>
  </si>
  <si>
    <t>Speicherbatterie vorhanden?</t>
  </si>
  <si>
    <t>Elektrische Speicherkapazität</t>
  </si>
  <si>
    <t>Language:</t>
  </si>
  <si>
    <t>de</t>
  </si>
  <si>
    <t>Version:</t>
  </si>
  <si>
    <t>Mehrfamilienhaus:</t>
  </si>
  <si>
    <t>Wohnung</t>
  </si>
  <si>
    <t>Treppenhaus</t>
  </si>
  <si>
    <t>Home-Office</t>
  </si>
  <si>
    <t>Keller, Estrich</t>
  </si>
  <si>
    <t>Abstellraum, Garage o. ä.</t>
  </si>
  <si>
    <t>Einfamilienhaus:</t>
  </si>
  <si>
    <t>Hotel:</t>
  </si>
  <si>
    <t>Hotelzimmer</t>
  </si>
  <si>
    <t>Eingangshalle</t>
  </si>
  <si>
    <t>Büro</t>
  </si>
  <si>
    <t>Verkehrsfläche</t>
  </si>
  <si>
    <t>Nebenfläche</t>
  </si>
  <si>
    <t>BüroVerwaltung:</t>
  </si>
  <si>
    <t>Korridor, Erschliessung</t>
  </si>
  <si>
    <t>Nebenräume</t>
  </si>
  <si>
    <t>Schule:</t>
  </si>
  <si>
    <t>Schulzimmer</t>
  </si>
  <si>
    <t>Lehrerzimmer</t>
  </si>
  <si>
    <t>Turnhalle</t>
  </si>
  <si>
    <t>Garderobe, Duschen, WC</t>
  </si>
  <si>
    <t>Singsaal, Aula</t>
  </si>
  <si>
    <t>Verkauf:</t>
  </si>
  <si>
    <t>Lebensmittel</t>
  </si>
  <si>
    <t>Fachgeschäft</t>
  </si>
  <si>
    <t>Möbel, Bau, Garten</t>
  </si>
  <si>
    <t>Restaurant:</t>
  </si>
  <si>
    <t>Restaurant</t>
  </si>
  <si>
    <t>Title:</t>
  </si>
  <si>
    <t>Frau</t>
  </si>
  <si>
    <t>Herr</t>
  </si>
  <si>
    <t>Herr u. Frau</t>
  </si>
  <si>
    <t>Firma</t>
  </si>
  <si>
    <t>Familie</t>
  </si>
  <si>
    <t>Hauseigentümer</t>
  </si>
  <si>
    <t>Eigentümergemeinschaft</t>
  </si>
  <si>
    <t>Liegenschaftsverwaltung</t>
  </si>
  <si>
    <t>Gemeindeverwaltung</t>
  </si>
  <si>
    <t/>
  </si>
  <si>
    <t>ConstructionType:</t>
  </si>
  <si>
    <t>schwer</t>
  </si>
  <si>
    <t>mittel</t>
  </si>
  <si>
    <t>leicht</t>
  </si>
  <si>
    <t>sehr leicht</t>
  </si>
  <si>
    <t>GroundPlanType:</t>
  </si>
  <si>
    <t>kompakt</t>
  </si>
  <si>
    <t>gestreckt</t>
  </si>
  <si>
    <t>WeatherStations:</t>
  </si>
  <si>
    <t>Adelboden</t>
  </si>
  <si>
    <t>Altdorf</t>
  </si>
  <si>
    <t>Basel-Binningen</t>
  </si>
  <si>
    <t>Bern-Liebefeld</t>
  </si>
  <si>
    <t>Buchs-Aarau</t>
  </si>
  <si>
    <t>Chur</t>
  </si>
  <si>
    <t>Davos</t>
  </si>
  <si>
    <t>Disentis</t>
  </si>
  <si>
    <t>Engelberg</t>
  </si>
  <si>
    <t>Genève-Cointrin</t>
  </si>
  <si>
    <t>Glarus</t>
  </si>
  <si>
    <t>Grand-St-Bernard</t>
  </si>
  <si>
    <t>Güttingen</t>
  </si>
  <si>
    <t>La Chaux-de-Fonds</t>
  </si>
  <si>
    <t>Locarno-Monti</t>
  </si>
  <si>
    <t>Lugano</t>
  </si>
  <si>
    <t>Luzern</t>
  </si>
  <si>
    <t>Magadino</t>
  </si>
  <si>
    <t>Montana</t>
  </si>
  <si>
    <t>Neuchâtel</t>
  </si>
  <si>
    <t>Payerne</t>
  </si>
  <si>
    <t>Robbia</t>
  </si>
  <si>
    <t>Samedan</t>
  </si>
  <si>
    <t>San Bernardino</t>
  </si>
  <si>
    <t>Schaffhausen</t>
  </si>
  <si>
    <t>Scuol</t>
  </si>
  <si>
    <t>Sion</t>
  </si>
  <si>
    <t>St. Gallen</t>
  </si>
  <si>
    <t>Vaduz</t>
  </si>
  <si>
    <t>Wynau</t>
  </si>
  <si>
    <t>Zermatt</t>
  </si>
  <si>
    <t>Zürich-MeteoSchweiz</t>
  </si>
  <si>
    <t>BestKnownWeatherStations:</t>
  </si>
  <si>
    <t>Aigle</t>
  </si>
  <si>
    <t>Interlaken</t>
  </si>
  <si>
    <t>La Frétaz</t>
  </si>
  <si>
    <t>Piotta</t>
  </si>
  <si>
    <t>Pully</t>
  </si>
  <si>
    <t>Rünenberg</t>
  </si>
  <si>
    <t>Ulrichen</t>
  </si>
  <si>
    <t>Zürich-Kloten</t>
  </si>
  <si>
    <t>Beschreibung des Gebäudes</t>
  </si>
  <si>
    <t>Prioritization:</t>
  </si>
  <si>
    <t>Hohe Priorität: Umsetzung in &lt; 2 Jahren</t>
  </si>
  <si>
    <t>Mittlere Priorität: Umsetzung in 2-5 Jahren</t>
  </si>
  <si>
    <t>Geringe Priorität: Umsetzung in 5-10 Jahren</t>
  </si>
  <si>
    <t>Keine Priorität</t>
  </si>
  <si>
    <t>BuildingUsageTypes:</t>
  </si>
  <si>
    <t>Mehrfamilienhaus</t>
  </si>
  <si>
    <t>Einfamilienhaus</t>
  </si>
  <si>
    <t>Hotel</t>
  </si>
  <si>
    <t>Büro/Verwaltung</t>
  </si>
  <si>
    <t>Schule</t>
  </si>
  <si>
    <t>Verkauf</t>
  </si>
  <si>
    <t>HotelType:</t>
  </si>
  <si>
    <t>ohne Stern, Pension, Gasthaus</t>
  </si>
  <si>
    <t>1 Stern</t>
  </si>
  <si>
    <t>2 Sterne</t>
  </si>
  <si>
    <t>3 Sterne</t>
  </si>
  <si>
    <t>4 Sterne</t>
  </si>
  <si>
    <t>5 Sterne und mehr</t>
  </si>
  <si>
    <t>Jugendheim/Hostel</t>
  </si>
  <si>
    <t>RestaurantType:</t>
  </si>
  <si>
    <t>Selbstbedienungsrestaurant</t>
  </si>
  <si>
    <t>Fastfood-Restaurant</t>
  </si>
  <si>
    <t>Kantine</t>
  </si>
  <si>
    <t>Bar</t>
  </si>
  <si>
    <t>Café</t>
  </si>
  <si>
    <t>Eiscafé</t>
  </si>
  <si>
    <t>ShopType:</t>
  </si>
  <si>
    <t>Discounter</t>
  </si>
  <si>
    <t>Supermarkt</t>
  </si>
  <si>
    <t>Gemischtwarenhandel</t>
  </si>
  <si>
    <t>Lebensmittelhandel</t>
  </si>
  <si>
    <t>Detailfachgeschäft</t>
  </si>
  <si>
    <t>Verkauf Möbel, Bau, Garten</t>
  </si>
  <si>
    <t>BuildingUsageSubTypes:</t>
  </si>
  <si>
    <t>---</t>
  </si>
  <si>
    <t>FacadeStructure:</t>
  </si>
  <si>
    <t>flächig, glatt</t>
  </si>
  <si>
    <t>normal gegliedert</t>
  </si>
  <si>
    <t>stark gegliedert</t>
  </si>
  <si>
    <t>Allgemeiner Zustand</t>
  </si>
  <si>
    <t>GeneralCondition:</t>
  </si>
  <si>
    <t>neuwertig</t>
  </si>
  <si>
    <t>gebraucht</t>
  </si>
  <si>
    <t>abgenutzt</t>
  </si>
  <si>
    <t>Lebensdauer erreicht</t>
  </si>
  <si>
    <t>Renovationsjahr</t>
  </si>
  <si>
    <t>U-Wert [W/(m²K)]</t>
  </si>
  <si>
    <t>Temp. Nachbarraum</t>
  </si>
  <si>
    <t>Temperaturzuschlag Nachbarraum</t>
  </si>
  <si>
    <t>WS3ExpertCodes:</t>
  </si>
  <si>
    <t>W-1</t>
  </si>
  <si>
    <t>W-2</t>
  </si>
  <si>
    <t>W-3</t>
  </si>
  <si>
    <t>W-4</t>
  </si>
  <si>
    <t>W-5</t>
  </si>
  <si>
    <t>W-6</t>
  </si>
  <si>
    <t>W-7</t>
  </si>
  <si>
    <t>W-8</t>
  </si>
  <si>
    <t>W-9</t>
  </si>
  <si>
    <t>W-10</t>
  </si>
  <si>
    <t>Wx-1</t>
  </si>
  <si>
    <t>Wx-2</t>
  </si>
  <si>
    <t>Wx-3</t>
  </si>
  <si>
    <t>Wx-4</t>
  </si>
  <si>
    <t>Wx-5</t>
  </si>
  <si>
    <t>Wx-6</t>
  </si>
  <si>
    <t>Wx-7</t>
  </si>
  <si>
    <t>Wx-8</t>
  </si>
  <si>
    <t>Wx-9</t>
  </si>
  <si>
    <t>Wx-10</t>
  </si>
  <si>
    <t>WallType:</t>
  </si>
  <si>
    <t>Aussenwand</t>
  </si>
  <si>
    <t>Hinterlüftete Fassade</t>
  </si>
  <si>
    <t>Gegen Unbeheizt (ungedämmt und/oder undicht)</t>
  </si>
  <si>
    <t>Gegen Beheizt</t>
  </si>
  <si>
    <t>Gegen Erdreich ≤ 2 m</t>
  </si>
  <si>
    <t>Gegen Erdreich &gt; 2 m</t>
  </si>
  <si>
    <t>Gegen Unbeheizt (gedämmt, luftdicht)</t>
  </si>
  <si>
    <t>Orientation:</t>
  </si>
  <si>
    <t>N</t>
  </si>
  <si>
    <t>NO</t>
  </si>
  <si>
    <t>O</t>
  </si>
  <si>
    <t>SO</t>
  </si>
  <si>
    <t>S</t>
  </si>
  <si>
    <t>SW</t>
  </si>
  <si>
    <t>W</t>
  </si>
  <si>
    <t>NW</t>
  </si>
  <si>
    <t>CalculationBase_NoMeter:</t>
  </si>
  <si>
    <t>Pauschal (pro Stück)</t>
  </si>
  <si>
    <t>Pro m²</t>
  </si>
  <si>
    <t>RoofType:</t>
  </si>
  <si>
    <t>Schrägdach, unbeheizt</t>
  </si>
  <si>
    <t>Schrägdach, teilbeheizt</t>
  </si>
  <si>
    <t>Schrägdach, vollbeheizt</t>
  </si>
  <si>
    <t>Flachdach</t>
  </si>
  <si>
    <t>Flachdach mit Attikageschoss</t>
  </si>
  <si>
    <t>Da-1</t>
  </si>
  <si>
    <t>Da-2</t>
  </si>
  <si>
    <t>Da-3</t>
  </si>
  <si>
    <t>Da-4</t>
  </si>
  <si>
    <t>Da-5</t>
  </si>
  <si>
    <t>Da-6</t>
  </si>
  <si>
    <t>Da-7</t>
  </si>
  <si>
    <t>Da-8</t>
  </si>
  <si>
    <t>Da-9</t>
  </si>
  <si>
    <t>Da-10</t>
  </si>
  <si>
    <t>De-1</t>
  </si>
  <si>
    <t>De-2</t>
  </si>
  <si>
    <t>De-3</t>
  </si>
  <si>
    <t>De-4</t>
  </si>
  <si>
    <t>De-5</t>
  </si>
  <si>
    <t>De-6</t>
  </si>
  <si>
    <t>De-7</t>
  </si>
  <si>
    <t>De-8</t>
  </si>
  <si>
    <t>De-9</t>
  </si>
  <si>
    <t>De-10</t>
  </si>
  <si>
    <t>RoofCeilingType:</t>
  </si>
  <si>
    <t>Steildach</t>
  </si>
  <si>
    <t>Flachdach/Terrasse</t>
  </si>
  <si>
    <t>Decke/Estrich geg Unbeheizt</t>
  </si>
  <si>
    <t>Decke/Estrich geg Beheizt</t>
  </si>
  <si>
    <t xml:space="preserve">Geg Unbeh. (Estrich/Dach ged. Ue </t>
  </si>
  <si>
    <t>Decke ≤ 2 m im Erdreich</t>
  </si>
  <si>
    <t>Decke gegen Erdreich &gt; 2 m</t>
  </si>
  <si>
    <t>OrientationHExtended:</t>
  </si>
  <si>
    <t>Horiz</t>
  </si>
  <si>
    <t xml:space="preserve"> </t>
  </si>
  <si>
    <t>WS4ExpertCodes:</t>
  </si>
  <si>
    <t>Fe-1</t>
  </si>
  <si>
    <t>Fe-2</t>
  </si>
  <si>
    <t>Fe-3</t>
  </si>
  <si>
    <t>Fe-4</t>
  </si>
  <si>
    <t>Fe-5</t>
  </si>
  <si>
    <t>Fe-6</t>
  </si>
  <si>
    <t>Fe-7</t>
  </si>
  <si>
    <t>Fe-8</t>
  </si>
  <si>
    <t>Fe-9</t>
  </si>
  <si>
    <t>Fe-10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</si>
  <si>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</si>
  <si>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</si>
  <si>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</si>
  <si>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</si>
  <si>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</si>
  <si>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</si>
  <si>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</si>
  <si>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</si>
  <si>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</si>
  <si>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</si>
  <si>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WallOpeningType:</t>
  </si>
  <si>
    <t>Tür</t>
  </si>
  <si>
    <t>Türe gegen angebauten Raum</t>
  </si>
  <si>
    <t>Fenster</t>
  </si>
  <si>
    <t>Fenster gegen angebauten Raum</t>
  </si>
  <si>
    <t>Geg Beheizt</t>
  </si>
  <si>
    <t>OrientationH:</t>
  </si>
  <si>
    <t>unbeheizt</t>
  </si>
  <si>
    <t>teilbeheizt</t>
  </si>
  <si>
    <t>vollbeheizt</t>
  </si>
  <si>
    <t>Bo-6</t>
  </si>
  <si>
    <t>Bo-7</t>
  </si>
  <si>
    <t>Bo-8</t>
  </si>
  <si>
    <t>Bo-9</t>
  </si>
  <si>
    <t>Bo-10</t>
  </si>
  <si>
    <t>Bx-1</t>
  </si>
  <si>
    <t>Bx-2</t>
  </si>
  <si>
    <t>Bx-3</t>
  </si>
  <si>
    <t>Bx-4</t>
  </si>
  <si>
    <t>Bx-5</t>
  </si>
  <si>
    <t>Bx-6</t>
  </si>
  <si>
    <t>Bx-7</t>
  </si>
  <si>
    <t>Bx-8</t>
  </si>
  <si>
    <t>Bx-9</t>
  </si>
  <si>
    <t>Bx-10</t>
  </si>
  <si>
    <t>FloorType:</t>
  </si>
  <si>
    <t>Gegen Aussen</t>
  </si>
  <si>
    <t>Gegen Unbeheizt (Keller im Erdreich) (ungedämmt und/oder undicht)</t>
  </si>
  <si>
    <t>Gegen Unbeheizt (K. teilw. im Erdreich) (ungedämmt und/oder undicht)</t>
  </si>
  <si>
    <t>Gegen Unbeheizt (K. teilw. im Erdreich) (gedämmt, luftdicht)</t>
  </si>
  <si>
    <t>Gegen Unbeheizt (Keller im Erdreich) (gedämmt, luftdicht)</t>
  </si>
  <si>
    <t>WS6ExpertCodes:</t>
  </si>
  <si>
    <t>WL-1</t>
  </si>
  <si>
    <t>WL-2</t>
  </si>
  <si>
    <t>WL-3</t>
  </si>
  <si>
    <t>WL-4</t>
  </si>
  <si>
    <t>WL-5</t>
  </si>
  <si>
    <t>WL-6</t>
  </si>
  <si>
    <t>WL-7</t>
  </si>
  <si>
    <t>WL-8</t>
  </si>
  <si>
    <t>WL-9</t>
  </si>
  <si>
    <t>WL-10</t>
  </si>
  <si>
    <t>WR-1</t>
  </si>
  <si>
    <t>WR-2</t>
  </si>
  <si>
    <t>WR-3</t>
  </si>
  <si>
    <t>WR-4</t>
  </si>
  <si>
    <t>WR-5</t>
  </si>
  <si>
    <t>WR-6</t>
  </si>
  <si>
    <t>WR-7</t>
  </si>
  <si>
    <t>WR-8</t>
  </si>
  <si>
    <t>WR-9</t>
  </si>
  <si>
    <t>WR-10</t>
  </si>
  <si>
    <t>ThermalBridgeType:</t>
  </si>
  <si>
    <t>Decke/Wand</t>
  </si>
  <si>
    <t>Gebäudesockel</t>
  </si>
  <si>
    <t>Balkon</t>
  </si>
  <si>
    <t>Fensteranschlag</t>
  </si>
  <si>
    <t>Boden/Kellerwand</t>
  </si>
  <si>
    <t>Dach/Aussenwand</t>
  </si>
  <si>
    <t>Rolladen</t>
  </si>
  <si>
    <t>Dachrand</t>
  </si>
  <si>
    <t>Innenwand/Aussenwand</t>
  </si>
  <si>
    <t>Stütze/Träger</t>
  </si>
  <si>
    <t>Benutzerdefiniert - Punktförmig</t>
  </si>
  <si>
    <t>Benutzerdefiniert - Linear</t>
  </si>
  <si>
    <t>LU-1</t>
  </si>
  <si>
    <t>LU-2</t>
  </si>
  <si>
    <t>LU-3</t>
  </si>
  <si>
    <t>LU-4</t>
  </si>
  <si>
    <t>LU-5</t>
  </si>
  <si>
    <t>LU-6</t>
  </si>
  <si>
    <t>LU-7</t>
  </si>
  <si>
    <t>LU-8</t>
  </si>
  <si>
    <t>LU-9</t>
  </si>
  <si>
    <t>LU-10</t>
  </si>
  <si>
    <t>StandardVentilationType:</t>
  </si>
  <si>
    <t>Externe Berechnung</t>
  </si>
  <si>
    <t>Fensterlüftung (manuell)</t>
  </si>
  <si>
    <t>Einfache Lüftungsanlage (mit Zu- und Abluft)</t>
  </si>
  <si>
    <t>Lüftungsanlage mit Lufterwärmung (WRG, mit Zu- und Abluft)</t>
  </si>
  <si>
    <t>Lüftungsanlage mit Abluft-Wärmepumpe (mit Zu- und Abluft)</t>
  </si>
  <si>
    <t xml:space="preserve">Einfache Abluftanlage (ohne WRG) </t>
  </si>
  <si>
    <t>Abluftanlage mit Abwärmenutzung (Abluft-Wärmepumpe)</t>
  </si>
  <si>
    <t>Einzelraumlüftung (mit WRG)</t>
  </si>
  <si>
    <t>Fensterlüftung (automatisch)</t>
  </si>
  <si>
    <t>HeatExchangerType:</t>
  </si>
  <si>
    <t>Keine Wärmerückgewinnung</t>
  </si>
  <si>
    <t>Kreuzstrom-Wärmetauscher</t>
  </si>
  <si>
    <t>Gegenstrom-Wärmetauscher</t>
  </si>
  <si>
    <t>Rotations-Wärmetauscher</t>
  </si>
  <si>
    <t>FanType:</t>
  </si>
  <si>
    <t>Ohne</t>
  </si>
  <si>
    <t>AC-Motor</t>
  </si>
  <si>
    <t>DC/EC-Motor</t>
  </si>
  <si>
    <t>CalculationBase_OnlyLump:</t>
  </si>
  <si>
    <t>EnergySources:</t>
  </si>
  <si>
    <t>Elektrizität (HT)</t>
  </si>
  <si>
    <t>Elektrizität (MT)</t>
  </si>
  <si>
    <t>Elektrizität (NT)</t>
  </si>
  <si>
    <t>Elektrizität (Produktion)</t>
  </si>
  <si>
    <t>Kohlebrickets</t>
  </si>
  <si>
    <t>Erdgas (inkl. Biogas)</t>
  </si>
  <si>
    <t>Heizöl</t>
  </si>
  <si>
    <t>Fernwärme Anteil fossil &lt;= 50 %</t>
  </si>
  <si>
    <t>Holzpellets</t>
  </si>
  <si>
    <t>Holzschnitzel</t>
  </si>
  <si>
    <t>Stückholz</t>
  </si>
  <si>
    <t>Thermische Sonnenenergie</t>
  </si>
  <si>
    <t>Elektrizität (Wärmepumpe)</t>
  </si>
  <si>
    <t>Fernwärme Anteil fossil &lt;= 25 %</t>
  </si>
  <si>
    <t>Fernwärme Anteil fossil &lt;= 75 %</t>
  </si>
  <si>
    <t>Fernwärme Anteil fossil &gt; 75 %</t>
  </si>
  <si>
    <t>HeatProducerOversize:</t>
  </si>
  <si>
    <t>1</t>
  </si>
  <si>
    <t>1.2</t>
  </si>
  <si>
    <t>1.5</t>
  </si>
  <si>
    <t>2</t>
  </si>
  <si>
    <t>3</t>
  </si>
  <si>
    <t>HeatProducerTypes:</t>
  </si>
  <si>
    <t>Ölfeuerung</t>
  </si>
  <si>
    <t>Ölfeuerung kondensierend</t>
  </si>
  <si>
    <t>Gasfeuerung</t>
  </si>
  <si>
    <t>Gasfeuerung kondensierend</t>
  </si>
  <si>
    <t>Holzfeuerung (automatisch)</t>
  </si>
  <si>
    <t>Holzfeuerung (handbeschickt)</t>
  </si>
  <si>
    <t>Pelletfeuerung (automatisch)</t>
  </si>
  <si>
    <t>Pelletfeuerung (handbeschickt)</t>
  </si>
  <si>
    <t>Fernwärme</t>
  </si>
  <si>
    <t>Wärmeversorgung mit BHKW</t>
  </si>
  <si>
    <t>Mini-BHKW</t>
  </si>
  <si>
    <t>Elektrospeicher- Zentralheizung</t>
  </si>
  <si>
    <t>Elektro direkt</t>
  </si>
  <si>
    <t>Elektro-Wassererwärmer</t>
  </si>
  <si>
    <t>Wärmepumpe, Aussenluft</t>
  </si>
  <si>
    <t>Wärmepumpe, Erdwärmesonde</t>
  </si>
  <si>
    <t>Wärmepumpe, Abwasser</t>
  </si>
  <si>
    <t>Wärmepumpe, Grundwasser, direkt</t>
  </si>
  <si>
    <t>Wärmepumpe, Grundwasser, indirekt</t>
  </si>
  <si>
    <t>Wärmepumpe Erdregister</t>
  </si>
  <si>
    <t>Lüftungsgerät mit Abluft / Zuluft - WP plus WRG</t>
  </si>
  <si>
    <t>Lüftungsgerät mit Abluft / Zuluft - WP ohne WRG</t>
  </si>
  <si>
    <t>Lüftungsgerät mit Abluft-Wärmepumpe (keine Zuluft)</t>
  </si>
  <si>
    <t>Kompakt-WP mit Zu- &amp; Abluft / WW plus WRG</t>
  </si>
  <si>
    <t>Kompakt-WP mit Zu- &amp; Abluft / WW ohne WRG</t>
  </si>
  <si>
    <t>Solarenergie thermisch</t>
  </si>
  <si>
    <t>Wärmepumpenboiler Trinkwarmwasser</t>
  </si>
  <si>
    <t>Holzofen als Zusatzheizung</t>
  </si>
  <si>
    <t>SuppliedDistributionSystems:</t>
  </si>
  <si>
    <t>Heizung (H)</t>
  </si>
  <si>
    <t>Warmwasser (WW)</t>
  </si>
  <si>
    <t>H + WW (ganzjährig)</t>
  </si>
  <si>
    <t>H + WW (nur Heizperiode)</t>
  </si>
  <si>
    <t>HeatingSupplyType:</t>
  </si>
  <si>
    <t>Radiatoren</t>
  </si>
  <si>
    <t>Flächenheizung</t>
  </si>
  <si>
    <t>HeatProducerCondition:</t>
  </si>
  <si>
    <t>Gut</t>
  </si>
  <si>
    <t>Mittel</t>
  </si>
  <si>
    <t>Schlecht</t>
  </si>
  <si>
    <t>InOutThermalEnvelope:</t>
  </si>
  <si>
    <t>Innerhalb thermischer Gebäudehülle</t>
  </si>
  <si>
    <t>Ausserhalb thermischer Gebäudehülle</t>
  </si>
  <si>
    <t>SP-1</t>
  </si>
  <si>
    <t>SP-2</t>
  </si>
  <si>
    <t>SP-3</t>
  </si>
  <si>
    <t>SP-4</t>
  </si>
  <si>
    <t>SP-5</t>
  </si>
  <si>
    <t>SP-6</t>
  </si>
  <si>
    <t>SP-7</t>
  </si>
  <si>
    <t>SP-8</t>
  </si>
  <si>
    <t>SP-9</t>
  </si>
  <si>
    <t>SP-10</t>
  </si>
  <si>
    <t>ReservoirType:</t>
  </si>
  <si>
    <t>Warmwasserspeicher</t>
  </si>
  <si>
    <t>Heizungsspeicher</t>
  </si>
  <si>
    <t>Kombispeicher</t>
  </si>
  <si>
    <t>Heizungsspeichervolumen in Liter:</t>
  </si>
  <si>
    <t>x</t>
  </si>
  <si>
    <t>Quality:</t>
  </si>
  <si>
    <t>Sehr gut</t>
  </si>
  <si>
    <t>Mittelmässig</t>
  </si>
  <si>
    <t>Ungenügend</t>
  </si>
  <si>
    <t>WS9ExpertCodes:</t>
  </si>
  <si>
    <t>HE-1</t>
  </si>
  <si>
    <t>HE-2</t>
  </si>
  <si>
    <t>HE-3</t>
  </si>
  <si>
    <t>HE-4</t>
  </si>
  <si>
    <t>HE-5</t>
  </si>
  <si>
    <t>HE-6</t>
  </si>
  <si>
    <t>HE-7</t>
  </si>
  <si>
    <t>HE-8</t>
  </si>
  <si>
    <t>HE-9</t>
  </si>
  <si>
    <t>HE-10</t>
  </si>
  <si>
    <t>HeatingType:</t>
  </si>
  <si>
    <t>zentral</t>
  </si>
  <si>
    <t>dezentral</t>
  </si>
  <si>
    <t>HeatEmission:</t>
  </si>
  <si>
    <t>Konvektion und Strahlung</t>
  </si>
  <si>
    <t>ExpertCodes:</t>
  </si>
  <si>
    <t>PartialBool:</t>
  </si>
  <si>
    <t>nein</t>
  </si>
  <si>
    <t>ja</t>
  </si>
  <si>
    <t>teilweise</t>
  </si>
  <si>
    <t>HeatingFlows:</t>
  </si>
  <si>
    <t>90/70</t>
  </si>
  <si>
    <t>70/55</t>
  </si>
  <si>
    <t>55/40</t>
  </si>
  <si>
    <t>50/38</t>
  </si>
  <si>
    <t>45/35</t>
  </si>
  <si>
    <t>40/32</t>
  </si>
  <si>
    <t>35/28</t>
  </si>
  <si>
    <t>30/25</t>
  </si>
  <si>
    <t>UnknownBool:</t>
  </si>
  <si>
    <t>unbekannt</t>
  </si>
  <si>
    <t>WS10ExpertCodes:</t>
  </si>
  <si>
    <t>WW-1</t>
  </si>
  <si>
    <t>WW-2</t>
  </si>
  <si>
    <t>WW-3</t>
  </si>
  <si>
    <t>WW-4</t>
  </si>
  <si>
    <t>WW-5</t>
  </si>
  <si>
    <t>WW-6</t>
  </si>
  <si>
    <t>WW-7</t>
  </si>
  <si>
    <t>WW-8</t>
  </si>
  <si>
    <t>WW-9</t>
  </si>
  <si>
    <t>WW-10</t>
  </si>
  <si>
    <t>WarmWaterWarmKeeping:</t>
  </si>
  <si>
    <t>Zirkulation</t>
  </si>
  <si>
    <t>Heizband</t>
  </si>
  <si>
    <t>keine</t>
  </si>
  <si>
    <t>kWh HS</t>
  </si>
  <si>
    <t>Bad/WC-Abluft</t>
  </si>
  <si>
    <t>Dampfabzug Abluft</t>
  </si>
  <si>
    <t>Dampfabzug Umluft</t>
  </si>
  <si>
    <t>Elektro-Backofen</t>
  </si>
  <si>
    <t>Elektro-Kochherd</t>
  </si>
  <si>
    <t>Gasbackofen</t>
  </si>
  <si>
    <t>Gaskochherd</t>
  </si>
  <si>
    <t>Geschirrspüler (mit Warmwasseranschluss)</t>
  </si>
  <si>
    <t>Geschirrspüler (ohne Warmwasseranschluss)</t>
  </si>
  <si>
    <t>Komfortlüftung mit WRG (pro Wohnung)</t>
  </si>
  <si>
    <t>Kühlschrank &lt; 160 l, mit Tiefkühlfach</t>
  </si>
  <si>
    <t>Kühlschrank &lt; 160 l, ohne Tiefkühlfach</t>
  </si>
  <si>
    <t>Kühlschrank &gt; 160 l, mit Tiefkühlfach</t>
  </si>
  <si>
    <t>Kühlschrank &gt; 160 l, ohne Tiefkühlfach</t>
  </si>
  <si>
    <t>Lift</t>
  </si>
  <si>
    <t>Raumlufttrockner</t>
  </si>
  <si>
    <t>Separates Gefriergerät (gross)</t>
  </si>
  <si>
    <t>Separates Gefriergerät (klein)</t>
  </si>
  <si>
    <t>Wäschetrocknung</t>
  </si>
  <si>
    <t>Waschmaschine (mit Warmwasseranschluss)</t>
  </si>
  <si>
    <t>Waschmaschine (ohne Warmwasseranschluss)</t>
  </si>
  <si>
    <t>WS12ExpertCodes:</t>
  </si>
  <si>
    <t>GE-1</t>
  </si>
  <si>
    <t>GE-2</t>
  </si>
  <si>
    <t>GE-3</t>
  </si>
  <si>
    <t>GE-4</t>
  </si>
  <si>
    <t>GE-5</t>
  </si>
  <si>
    <t>GE-6</t>
  </si>
  <si>
    <t>GE-7</t>
  </si>
  <si>
    <t>GE-8</t>
  </si>
  <si>
    <t>GE-9</t>
  </si>
  <si>
    <t>GE-10</t>
  </si>
  <si>
    <t>DeviceQuality:</t>
  </si>
  <si>
    <t>Standard</t>
  </si>
  <si>
    <t>Boolean:</t>
  </si>
  <si>
    <t>Ja</t>
  </si>
  <si>
    <t>Nein</t>
  </si>
  <si>
    <t>Aktuelle Nutzungsdaten</t>
  </si>
  <si>
    <t>WS13ExpertCodes: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</si>
  <si>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</si>
  <si>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</si>
  <si>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</si>
  <si>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</si>
  <si>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</si>
  <si>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</si>
  <si>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</si>
  <si>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</si>
  <si>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</si>
  <si>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</si>
  <si>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ExpansionDegrees:</t>
  </si>
  <si>
    <t>Bescheiden</t>
  </si>
  <si>
    <t>Hoch</t>
  </si>
  <si>
    <t>WS15ExpertCodes:</t>
  </si>
  <si>
    <t>BG-1</t>
  </si>
  <si>
    <t>BG-2</t>
  </si>
  <si>
    <t>BG-3</t>
  </si>
  <si>
    <t>BG-4</t>
  </si>
  <si>
    <t>BG-5</t>
  </si>
  <si>
    <t>BG-6</t>
  </si>
  <si>
    <t>BG-7</t>
  </si>
  <si>
    <t>BG-8</t>
  </si>
  <si>
    <t>BG-9</t>
  </si>
  <si>
    <t>BG-10</t>
  </si>
  <si>
    <t>ElectronicsQualities:</t>
  </si>
  <si>
    <t>Top Modern</t>
  </si>
  <si>
    <t>Modern</t>
  </si>
  <si>
    <t>Veraltet</t>
  </si>
  <si>
    <t>BL-1</t>
  </si>
  <si>
    <t>BL-2</t>
  </si>
  <si>
    <t>BL-3</t>
  </si>
  <si>
    <t>BL-4</t>
  </si>
  <si>
    <t>BL-5</t>
  </si>
  <si>
    <t>BL-6</t>
  </si>
  <si>
    <t>BL-7</t>
  </si>
  <si>
    <t>BL-8</t>
  </si>
  <si>
    <t>BL-9</t>
  </si>
  <si>
    <t>BL-10</t>
  </si>
  <si>
    <t>LightingQuality:</t>
  </si>
  <si>
    <t>75-100 % Eff-Leuchten mit Regelung</t>
  </si>
  <si>
    <t>75-100 % Eff-Leuchten</t>
  </si>
  <si>
    <t>25-75 % Eff-Leuchten</t>
  </si>
  <si>
    <t>0-25 % Eff-Leuchten</t>
  </si>
  <si>
    <t>WV-2</t>
  </si>
  <si>
    <t>WV-3</t>
  </si>
  <si>
    <t>WV-4</t>
  </si>
  <si>
    <t>WV-5</t>
  </si>
  <si>
    <t>WV-6</t>
  </si>
  <si>
    <t>WV-7</t>
  </si>
  <si>
    <t>WV-8</t>
  </si>
  <si>
    <t>WV-9</t>
  </si>
  <si>
    <t>WV-10</t>
  </si>
  <si>
    <t>nicht gebäudezugehöriger Verbraucher</t>
  </si>
  <si>
    <t>gebäudezugehöriger Verbraucher</t>
  </si>
  <si>
    <t>Elektrizitätsprod. ohne PVopti</t>
  </si>
  <si>
    <t>WS16ExpertCodes:</t>
  </si>
  <si>
    <t>EP-1</t>
  </si>
  <si>
    <t>EP-2</t>
  </si>
  <si>
    <t>EP-3</t>
  </si>
  <si>
    <t>EP-4</t>
  </si>
  <si>
    <t>EP-5</t>
  </si>
  <si>
    <t>EP-6</t>
  </si>
  <si>
    <t>EP-7</t>
  </si>
  <si>
    <t>EP-8</t>
  </si>
  <si>
    <t>EP-9</t>
  </si>
  <si>
    <t>EP-10</t>
  </si>
  <si>
    <t>ElectricityProducerType:</t>
  </si>
  <si>
    <t>PV</t>
  </si>
  <si>
    <t>WKK</t>
  </si>
  <si>
    <t>EM-1</t>
  </si>
  <si>
    <t>EnergyManagementSystemType:</t>
  </si>
  <si>
    <t>Kein EMS</t>
  </si>
  <si>
    <t>Einfaches EMS</t>
  </si>
  <si>
    <t>Zertifiziertes EMS (Minergie)</t>
  </si>
  <si>
    <t>ConsumerMeterType:</t>
  </si>
  <si>
    <t>Elektrizität</t>
  </si>
  <si>
    <t>Gas</t>
  </si>
  <si>
    <t>Helene Meier</t>
  </si>
  <si>
    <t>Testobjekt EFH Meier</t>
  </si>
  <si>
    <t>Jaggeler</t>
  </si>
  <si>
    <t>Sonnenweg 34</t>
  </si>
  <si>
    <t>Oberarth</t>
  </si>
  <si>
    <t>Schweiz</t>
  </si>
  <si>
    <t>helene.meier@testmail.ch</t>
  </si>
  <si>
    <t>6487</t>
  </si>
  <si>
    <t>Göschenen</t>
  </si>
  <si>
    <t>Breite</t>
  </si>
  <si>
    <t>Provisorium</t>
  </si>
  <si>
    <t>23-123</t>
  </si>
  <si>
    <t>Einfache Holzkontruktion</t>
  </si>
  <si>
    <t>Holzrahmen mit Steinwolle isoliert. Eternit Fassade</t>
  </si>
  <si>
    <t>Ölheizung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</si>
</sst>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;[Red]0.00"/>
    <numFmt numFmtId="166" formatCode="0;[Red]0"/>
  </numFmts>
  <fonts count="4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rgb="FF7F7F7F"/>
      <name val="Calibri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2"/>
    </font>
    <font>
      <sz val="11"/>
      <color rgb="FFFA7D00"/>
      <name val="Calibri"/>
      <family val="2"/>
      <scheme val="minor"/>
    </font>
    <font>
      <sz val="11"/>
      <color rgb="FFFA7D00"/>
      <name val="Calibri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theme="3"/>
      <name val="Cambria"/>
      <family val="2"/>
      <scheme val="maj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9"/>
      <color rgb="FF000000"/>
      <name val="Segoe UI"/>
      <family val="2"/>
      <charset val="1"/>
    </font>
    <font>
      <b/>
      <sz val="9"/>
      <color rgb="FFFF0000"/>
      <name val="Segoe UI"/>
      <family val="2"/>
      <charset val="1"/>
    </font>
    <font>
      <sz val="9"/>
      <color rgb="FF000000"/>
      <name val="Segoe UI"/>
      <family val="2"/>
      <charset val="1"/>
    </font>
  </fonts>
  <fills count="9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9" tint="0.599780266731772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start/>
      <end/>
      <top/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/>
      <end/>
      <top/>
      <bottom style="thick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5422223578601"/>
      </bottom>
      <diagonal/>
    </border>
    <border>
      <start/>
      <end/>
      <top/>
      <bottom style="thick">
        <color theme="4" tint="0.49992370372631001"/>
      </bottom>
      <diagonal/>
    </border>
    <border>
      <start/>
      <end/>
      <top/>
      <bottom style="thick">
        <color theme="4" tint="0.49989318521683401"/>
      </bottom>
      <diagonal/>
    </border>
    <border>
      <start/>
      <end/>
      <top/>
      <bottom style="thick">
        <color theme="4" tint="0.49986266670735802"/>
      </bottom>
      <diagonal/>
    </border>
    <border>
      <start/>
      <end/>
      <top/>
      <bottom style="thick">
        <color theme="4" tint="0.49983214819788202"/>
      </bottom>
      <diagonal/>
    </border>
    <border>
      <start/>
      <end/>
      <top/>
      <bottom style="thick">
        <color theme="4" tint="0.49980162968840602"/>
      </bottom>
      <diagonal/>
    </border>
    <border>
      <start/>
      <end/>
      <top/>
      <bottom style="thick">
        <color theme="4" tint="0.49977111117893003"/>
      </bottom>
      <diagonal/>
    </border>
    <border>
      <start/>
      <end/>
      <top/>
      <bottom style="thick">
        <color theme="4" tint="0.49974059266945403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226">
    <xf numFmtId="0" fontId="0" fillId="0" borderId="0"/>
    <xf numFmtId="0" fontId="1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1" fillId="54" borderId="0" applyNumberFormat="0" applyBorder="0" applyAlignment="0" applyProtection="0"/>
    <xf numFmtId="0" fontId="11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1" fillId="62" borderId="0" applyNumberFormat="0" applyBorder="0" applyAlignment="0" applyProtection="0"/>
    <xf numFmtId="0" fontId="11" fillId="63" borderId="0" applyNumberFormat="0" applyBorder="0" applyAlignment="0" applyProtection="0"/>
    <xf numFmtId="0" fontId="11" fillId="64" borderId="0" applyNumberFormat="0" applyBorder="0" applyAlignment="0" applyProtection="0"/>
    <xf numFmtId="0" fontId="11" fillId="65" borderId="0" applyNumberFormat="0" applyBorder="0" applyAlignment="0" applyProtection="0"/>
    <xf numFmtId="0" fontId="1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1" fillId="70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1" fillId="73" borderId="0" applyNumberFormat="0" applyBorder="0" applyAlignment="0" applyProtection="0"/>
    <xf numFmtId="0" fontId="12" fillId="77" borderId="0" applyNumberFormat="0" applyBorder="0" applyAlignment="0" applyProtection="0"/>
    <xf numFmtId="0" fontId="3" fillId="77" borderId="0" applyNumberFormat="0" applyBorder="0" applyAlignment="0" applyProtection="0"/>
    <xf numFmtId="0" fontId="12" fillId="77" borderId="0" applyNumberFormat="0" applyBorder="0" applyAlignment="0" applyProtection="0"/>
    <xf numFmtId="0" fontId="12" fillId="78" borderId="0" applyNumberFormat="0" applyBorder="0" applyAlignment="0" applyProtection="0"/>
    <xf numFmtId="0" fontId="3" fillId="78" borderId="0" applyNumberFormat="0" applyBorder="0" applyAlignment="0" applyProtection="0"/>
    <xf numFmtId="0" fontId="12" fillId="78" borderId="0" applyNumberFormat="0" applyBorder="0" applyAlignment="0" applyProtection="0"/>
    <xf numFmtId="0" fontId="12" fillId="79" borderId="0" applyNumberFormat="0" applyBorder="0" applyAlignment="0" applyProtection="0"/>
    <xf numFmtId="0" fontId="3" fillId="79" borderId="0" applyNumberFormat="0" applyBorder="0" applyAlignment="0" applyProtection="0"/>
    <xf numFmtId="0" fontId="12" fillId="79" borderId="0" applyNumberFormat="0" applyBorder="0" applyAlignment="0" applyProtection="0"/>
    <xf numFmtId="0" fontId="12" fillId="80" borderId="0" applyNumberFormat="0" applyBorder="0" applyAlignment="0" applyProtection="0"/>
    <xf numFmtId="0" fontId="3" fillId="80" borderId="0" applyNumberFormat="0" applyBorder="0" applyAlignment="0" applyProtection="0"/>
    <xf numFmtId="0" fontId="12" fillId="80" borderId="0" applyNumberFormat="0" applyBorder="0" applyAlignment="0" applyProtection="0"/>
    <xf numFmtId="0" fontId="12" fillId="81" borderId="0" applyNumberFormat="0" applyBorder="0" applyAlignment="0" applyProtection="0"/>
    <xf numFmtId="0" fontId="3" fillId="81" borderId="0" applyNumberFormat="0" applyBorder="0" applyAlignment="0" applyProtection="0"/>
    <xf numFmtId="0" fontId="12" fillId="81" borderId="0" applyNumberFormat="0" applyBorder="0" applyAlignment="0" applyProtection="0"/>
    <xf numFmtId="0" fontId="12" fillId="82" borderId="0" applyNumberFormat="0" applyBorder="0" applyAlignment="0" applyProtection="0"/>
    <xf numFmtId="0" fontId="3" fillId="82" borderId="0" applyNumberFormat="0" applyBorder="0" applyAlignment="0" applyProtection="0"/>
    <xf numFmtId="0" fontId="12" fillId="82" borderId="0" applyNumberFormat="0" applyBorder="0" applyAlignment="0" applyProtection="0"/>
    <xf numFmtId="0" fontId="12" fillId="83" borderId="0" applyNumberFormat="0" applyBorder="0" applyAlignment="0" applyProtection="0"/>
    <xf numFmtId="0" fontId="3" fillId="83" borderId="0" applyNumberFormat="0" applyBorder="0" applyAlignment="0" applyProtection="0"/>
    <xf numFmtId="0" fontId="12" fillId="83" borderId="0" applyNumberFormat="0" applyBorder="0" applyAlignment="0" applyProtection="0"/>
    <xf numFmtId="0" fontId="12" fillId="84" borderId="0" applyNumberFormat="0" applyBorder="0" applyAlignment="0" applyProtection="0"/>
    <xf numFmtId="0" fontId="3" fillId="84" borderId="0" applyNumberFormat="0" applyBorder="0" applyAlignment="0" applyProtection="0"/>
    <xf numFmtId="0" fontId="12" fillId="84" borderId="0" applyNumberFormat="0" applyBorder="0" applyAlignment="0" applyProtection="0"/>
    <xf numFmtId="0" fontId="12" fillId="85" borderId="0" applyNumberFormat="0" applyBorder="0" applyAlignment="0" applyProtection="0"/>
    <xf numFmtId="0" fontId="3" fillId="85" borderId="0" applyNumberFormat="0" applyBorder="0" applyAlignment="0" applyProtection="0"/>
    <xf numFmtId="0" fontId="12" fillId="85" borderId="0" applyNumberFormat="0" applyBorder="0" applyAlignment="0" applyProtection="0"/>
    <xf numFmtId="0" fontId="12" fillId="86" borderId="0" applyNumberFormat="0" applyBorder="0" applyAlignment="0" applyProtection="0"/>
    <xf numFmtId="0" fontId="3" fillId="86" borderId="0" applyNumberFormat="0" applyBorder="0" applyAlignment="0" applyProtection="0"/>
    <xf numFmtId="0" fontId="12" fillId="86" borderId="0" applyNumberFormat="0" applyBorder="0" applyAlignment="0" applyProtection="0"/>
    <xf numFmtId="0" fontId="12" fillId="87" borderId="0" applyNumberFormat="0" applyBorder="0" applyAlignment="0" applyProtection="0"/>
    <xf numFmtId="0" fontId="3" fillId="87" borderId="0" applyNumberFormat="0" applyBorder="0" applyAlignment="0" applyProtection="0"/>
    <xf numFmtId="0" fontId="12" fillId="87" borderId="0" applyNumberFormat="0" applyBorder="0" applyAlignment="0" applyProtection="0"/>
    <xf numFmtId="0" fontId="12" fillId="88" borderId="0" applyNumberFormat="0" applyBorder="0" applyAlignment="0" applyProtection="0"/>
    <xf numFmtId="0" fontId="3" fillId="88" borderId="0" applyNumberFormat="0" applyBorder="0" applyAlignment="0" applyProtection="0"/>
    <xf numFmtId="0" fontId="12" fillId="88" borderId="0" applyNumberFormat="0" applyBorder="0" applyAlignment="0" applyProtection="0"/>
    <xf numFmtId="0" fontId="13" fillId="89" borderId="0" applyNumberFormat="0" applyBorder="0" applyAlignment="0" applyProtection="0"/>
    <xf numFmtId="0" fontId="14" fillId="89" borderId="0" applyNumberFormat="0" applyBorder="0" applyAlignment="0" applyProtection="0"/>
    <xf numFmtId="0" fontId="13" fillId="89" borderId="0" applyNumberFormat="0" applyBorder="0" applyAlignment="0" applyProtection="0"/>
    <xf numFmtId="0" fontId="15" fillId="90" borderId="44" applyNumberFormat="0" applyAlignment="0" applyProtection="0"/>
    <xf numFmtId="0" fontId="16" fillId="90" borderId="44" applyNumberFormat="0" applyAlignment="0" applyProtection="0"/>
    <xf numFmtId="0" fontId="15" fillId="90" borderId="44" applyNumberFormat="0" applyAlignment="0" applyProtection="0"/>
    <xf numFmtId="0" fontId="17" fillId="91" borderId="45" applyNumberFormat="0" applyAlignment="0" applyProtection="0"/>
    <xf numFmtId="0" fontId="4" fillId="91" borderId="45" applyNumberFormat="0" applyAlignment="0" applyProtection="0"/>
    <xf numFmtId="0" fontId="17" fillId="91" borderId="45" applyNumberFormat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2" borderId="0" applyNumberFormat="0" applyBorder="0" applyAlignment="0" applyProtection="0"/>
    <xf numFmtId="0" fontId="21" fillId="92" borderId="0" applyNumberFormat="0" applyBorder="0" applyAlignment="0" applyProtection="0"/>
    <xf numFmtId="0" fontId="20" fillId="92" borderId="0" applyNumberFormat="0" applyBorder="0" applyAlignment="0" applyProtection="0"/>
    <xf numFmtId="0" fontId="22" fillId="0" borderId="46" applyNumberFormat="0" applyFill="0" applyAlignment="0" applyProtection="0"/>
    <xf numFmtId="0" fontId="23" fillId="0" borderId="46" applyNumberFormat="0" applyFill="0" applyAlignment="0" applyProtection="0"/>
    <xf numFmtId="0" fontId="24" fillId="0" borderId="47" applyNumberFormat="0" applyFill="0" applyAlignment="0" applyProtection="0"/>
    <xf numFmtId="0" fontId="25" fillId="0" borderId="48" applyNumberFormat="0" applyFill="0" applyAlignment="0" applyProtection="0"/>
    <xf numFmtId="0" fontId="25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51" applyNumberFormat="0" applyFill="0" applyAlignment="0" applyProtection="0"/>
    <xf numFmtId="0" fontId="25" fillId="0" borderId="52" applyNumberFormat="0" applyFill="0" applyAlignment="0" applyProtection="0"/>
    <xf numFmtId="0" fontId="25" fillId="0" borderId="53" applyNumberFormat="0" applyFill="0" applyAlignment="0" applyProtection="0"/>
    <xf numFmtId="0" fontId="25" fillId="0" borderId="54" applyNumberFormat="0" applyFill="0" applyAlignment="0" applyProtection="0"/>
    <xf numFmtId="0" fontId="24" fillId="0" borderId="48" applyNumberFormat="0" applyFill="0" applyAlignment="0" applyProtection="0"/>
    <xf numFmtId="0" fontId="24" fillId="0" borderId="49" applyNumberFormat="0" applyFill="0" applyAlignment="0" applyProtection="0"/>
    <xf numFmtId="0" fontId="24" fillId="0" borderId="50" applyNumberFormat="0" applyFill="0" applyAlignment="0" applyProtection="0"/>
    <xf numFmtId="0" fontId="24" fillId="0" borderId="51" applyNumberFormat="0" applyFill="0" applyAlignment="0" applyProtection="0"/>
    <xf numFmtId="0" fontId="26" fillId="0" borderId="55" applyNumberFormat="0" applyFill="0" applyAlignment="0" applyProtection="0"/>
    <xf numFmtId="0" fontId="27" fillId="0" borderId="55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9" fillId="2" borderId="44" applyNumberFormat="0" applyAlignment="0" applyProtection="0"/>
    <xf numFmtId="0" fontId="30" fillId="2" borderId="44" applyNumberFormat="0" applyAlignment="0" applyProtection="0"/>
    <xf numFmtId="0" fontId="29" fillId="2" borderId="44" applyNumberFormat="0" applyAlignment="0" applyProtection="0"/>
    <xf numFmtId="0" fontId="31" fillId="0" borderId="56" applyNumberFormat="0" applyFill="0" applyAlignment="0" applyProtection="0"/>
    <xf numFmtId="0" fontId="32" fillId="0" borderId="56" applyNumberFormat="0" applyFill="0" applyAlignment="0" applyProtection="0"/>
    <xf numFmtId="0" fontId="33" fillId="93" borderId="0" applyNumberFormat="0" applyBorder="0" applyAlignment="0" applyProtection="0"/>
    <xf numFmtId="0" fontId="34" fillId="93" borderId="0" applyNumberFormat="0" applyBorder="0" applyAlignment="0" applyProtection="0"/>
    <xf numFmtId="0" fontId="33" fillId="93" borderId="0" applyNumberFormat="0" applyBorder="0" applyAlignment="0" applyProtection="0"/>
    <xf numFmtId="0" fontId="1" fillId="0" borderId="0"/>
    <xf numFmtId="0" fontId="11" fillId="3" borderId="57" applyNumberFormat="0" applyAlignment="0" applyProtection="0"/>
    <xf numFmtId="0" fontId="1" fillId="3" borderId="57" applyNumberFormat="0" applyFont="0" applyAlignment="0" applyProtection="0"/>
    <xf numFmtId="0" fontId="11" fillId="3" borderId="57" applyNumberFormat="0" applyAlignment="0" applyProtection="0"/>
    <xf numFmtId="0" fontId="35" fillId="90" borderId="58" applyNumberFormat="0" applyAlignment="0" applyProtection="0"/>
    <xf numFmtId="0" fontId="36" fillId="90" borderId="58" applyNumberFormat="0" applyAlignment="0" applyProtection="0"/>
    <xf numFmtId="0" fontId="35" fillId="90" borderId="58" applyNumberFormat="0" applyAlignment="0" applyProtection="0"/>
    <xf numFmtId="9" fontId="11" fillId="0" borderId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59" applyNumberFormat="0" applyFill="0" applyAlignment="0" applyProtection="0"/>
    <xf numFmtId="0" fontId="6" fillId="0" borderId="59" applyNumberFormat="0" applyFill="0" applyAlignment="0" applyProtection="0"/>
    <xf numFmtId="0" fontId="4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0" fillId="0" borderId="0" applyNumberFormat="0" applyFill="0" applyBorder="0" applyAlignment="0" applyProtection="0"/>
  </cellStyleXfs>
  <cellXfs count="205">
    <xf numFmtId="0" fontId="0" fillId="0" borderId="0" xfId="0"/>
    <xf numFmtId="0" fontId="41" fillId="0" borderId="0" xfId="0" applyFont="1"/>
    <xf numFmtId="0" fontId="41" fillId="0" borderId="0" xfId="0" applyFont="1" applyAlignment="1">
      <alignment wrapText="1"/>
    </xf>
    <xf numFmtId="1" fontId="41" fillId="0" borderId="0" xfId="0" applyNumberFormat="1" applyFont="1"/>
    <xf numFmtId="164" fontId="41" fillId="0" borderId="0" xfId="0" applyNumberFormat="1" applyFont="1"/>
    <xf numFmtId="0" fontId="41" fillId="4" borderId="1" xfId="0" applyFont="1" applyFill="1" applyBorder="1" applyAlignment="1">
      <alignment horizontal="left" indent="1"/>
    </xf>
    <xf numFmtId="0" fontId="41" fillId="4" borderId="2" xfId="0" applyFont="1" applyFill="1" applyBorder="1" applyAlignment="1">
      <alignment horizontal="left" indent="1"/>
    </xf>
    <xf numFmtId="0" fontId="41" fillId="4" borderId="0" xfId="0" applyFont="1" applyFill="1" applyAlignment="1">
      <alignment horizontal="left" indent="1"/>
    </xf>
    <xf numFmtId="0" fontId="41" fillId="4" borderId="3" xfId="0" applyFont="1" applyFill="1" applyBorder="1" applyAlignment="1">
      <alignment horizontal="left" indent="1"/>
    </xf>
    <xf numFmtId="0" fontId="41" fillId="4" borderId="0" xfId="0" applyFont="1" applyFill="1"/>
    <xf numFmtId="0" fontId="41" fillId="4" borderId="0" xfId="0" applyFont="1" applyFill="1" applyAlignment="1">
      <alignment horizontal="left"/>
    </xf>
    <xf numFmtId="0" fontId="42" fillId="4" borderId="0" xfId="0" applyFont="1" applyFill="1"/>
    <xf numFmtId="0" fontId="41" fillId="4" borderId="4" xfId="0" applyFont="1" applyFill="1" applyBorder="1" applyAlignment="1">
      <alignment horizontal="left" indent="1"/>
    </xf>
    <xf numFmtId="1" fontId="41" fillId="4" borderId="4" xfId="0" applyNumberFormat="1" applyFont="1" applyFill="1" applyBorder="1" applyAlignment="1">
      <alignment horizontal="left" indent="1"/>
    </xf>
    <xf numFmtId="164" fontId="41" fillId="4" borderId="4" xfId="0" applyNumberFormat="1" applyFont="1" applyFill="1" applyBorder="1" applyAlignment="1">
      <alignment horizontal="left" indent="1"/>
    </xf>
    <xf numFmtId="0" fontId="41" fillId="61" borderId="4" xfId="0" applyFont="1" applyFill="1" applyBorder="1" applyAlignment="1">
      <alignment horizontal="left" vertical="center" wrapText="1" indent="1"/>
    </xf>
    <xf numFmtId="0" fontId="41" fillId="4" borderId="5" xfId="0" applyFont="1" applyFill="1" applyBorder="1" applyAlignment="1">
      <alignment horizontal="left" vertical="top" wrapText="1"/>
    </xf>
    <xf numFmtId="0" fontId="41" fillId="4" borderId="6" xfId="0" applyFont="1" applyFill="1" applyBorder="1" applyAlignment="1">
      <alignment horizontal="left" vertical="top" wrapText="1"/>
    </xf>
    <xf numFmtId="0" fontId="2" fillId="0" borderId="0" xfId="0" applyFont="1"/>
    <xf numFmtId="2" fontId="41" fillId="0" borderId="0" xfId="0" applyNumberFormat="1" applyFont="1"/>
    <xf numFmtId="9" fontId="41" fillId="0" borderId="0" xfId="216" applyFont="1" applyFill="1" applyBorder="1" applyAlignment="1"/>
    <xf numFmtId="9" fontId="41" fillId="0" borderId="0" xfId="216" applyFont="1" applyAlignment="1"/>
    <xf numFmtId="2" fontId="2" fillId="0" borderId="0" xfId="0" applyNumberFormat="1" applyFont="1"/>
    <xf numFmtId="0" fontId="41" fillId="0" borderId="0" xfId="216" applyNumberFormat="1" applyFont="1" applyFill="1" applyBorder="1" applyAlignment="1"/>
    <xf numFmtId="10" fontId="41" fillId="0" borderId="0" xfId="0" applyNumberFormat="1" applyFont="1"/>
    <xf numFmtId="49" fontId="41" fillId="0" borderId="0" xfId="216" applyNumberFormat="1" applyFont="1" applyFill="1" applyBorder="1" applyAlignment="1"/>
    <xf numFmtId="0" fontId="41" fillId="0" borderId="0" xfId="0" applyFont="1" applyAlignment="1">
      <alignment wrapText="1" shrinkToFit="1"/>
    </xf>
    <xf numFmtId="0" fontId="41" fillId="0" borderId="0" xfId="216" applyNumberFormat="1" applyFont="1" applyAlignment="1"/>
    <xf numFmtId="0" fontId="0" fillId="0" borderId="7" xfId="0" applyBorder="1"/>
    <xf numFmtId="0" fontId="41" fillId="0" borderId="0" xfId="0" applyFont="1" applyAlignment="1">
      <alignment horizontal="center"/>
    </xf>
    <xf numFmtId="2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left" vertical="top" wrapText="1"/>
    </xf>
    <xf numFmtId="0" fontId="41" fillId="0" borderId="0" xfId="0" applyFont="1" applyAlignment="1">
      <alignment vertical="center"/>
    </xf>
    <xf numFmtId="0" fontId="2" fillId="0" borderId="0" xfId="0" applyFont="1" applyAlignment="1">
      <alignment wrapText="1"/>
    </xf>
    <xf numFmtId="1" fontId="2" fillId="0" borderId="0" xfId="0" applyNumberFormat="1" applyFont="1"/>
    <xf numFmtId="0" fontId="2" fillId="0" borderId="8" xfId="0" applyFont="1" applyBorder="1"/>
    <xf numFmtId="10" fontId="2" fillId="0" borderId="8" xfId="0" applyNumberFormat="1" applyFont="1" applyBorder="1"/>
    <xf numFmtId="10" fontId="2" fillId="0" borderId="8" xfId="0" applyNumberFormat="1" applyFont="1" applyBorder="1" applyAlignment="1">
      <alignment wrapText="1"/>
    </xf>
    <xf numFmtId="10" fontId="2" fillId="0" borderId="0" xfId="0" applyNumberFormat="1" applyFont="1"/>
    <xf numFmtId="10" fontId="2" fillId="0" borderId="0" xfId="0" applyNumberFormat="1" applyFont="1" applyAlignment="1">
      <alignment wrapText="1"/>
    </xf>
    <xf numFmtId="0" fontId="8" fillId="0" borderId="9" xfId="0" applyFont="1" applyBorder="1" applyAlignment="1">
      <alignment horizontal="left"/>
    </xf>
    <xf numFmtId="49" fontId="41" fillId="4" borderId="10" xfId="0" applyNumberFormat="1" applyFont="1" applyFill="1" applyBorder="1" applyAlignment="1">
      <alignment horizontal="left" indent="1"/>
    </xf>
    <xf numFmtId="0" fontId="41" fillId="0" borderId="11" xfId="0" applyFont="1" applyBorder="1" applyAlignment="1">
      <alignment horizontal="left" vertical="top" wrapText="1"/>
    </xf>
    <xf numFmtId="22" fontId="41" fillId="4" borderId="12" xfId="0" applyNumberFormat="1" applyFont="1" applyFill="1" applyBorder="1" applyAlignment="1">
      <alignment horizontal="left"/>
    </xf>
    <xf numFmtId="0" fontId="41" fillId="0" borderId="0" xfId="0" applyFont="1" applyAlignment="1">
      <alignment vertical="top" wrapText="1"/>
    </xf>
    <xf numFmtId="9" fontId="41" fillId="0" borderId="0" xfId="0" applyNumberFormat="1" applyFo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14" xfId="0" applyBorder="1" applyAlignment="1">
      <alignment horizontal="left"/>
    </xf>
    <xf numFmtId="9" fontId="11" fillId="0" borderId="15" xfId="216" applyBorder="1" applyAlignment="1">
      <alignment horizontal="left"/>
    </xf>
    <xf numFmtId="0" fontId="2" fillId="62" borderId="4" xfId="0" applyFont="1" applyFill="1" applyBorder="1" applyAlignment="1">
      <alignment horizontal="left" vertical="center" wrapText="1"/>
    </xf>
    <xf numFmtId="1" fontId="2" fillId="4" borderId="1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0" xfId="0" applyBorder="1" applyAlignment="1">
      <alignment horizontal="left"/>
    </xf>
    <xf numFmtId="9" fontId="11" fillId="0" borderId="0" xfId="216" applyBorder="1" applyAlignment="1">
      <alignment horizontal="left"/>
    </xf>
    <xf numFmtId="0" fontId="0" fillId="0" borderId="21" xfId="0" applyBorder="1" applyAlignment="1">
      <alignment horizontal="left"/>
    </xf>
    <xf numFmtId="9" fontId="11" fillId="0" borderId="22" xfId="216" applyBorder="1" applyAlignment="1">
      <alignment horizontal="left"/>
    </xf>
    <xf numFmtId="164" fontId="41" fillId="0" borderId="0" xfId="216" applyNumberFormat="1" applyFont="1" applyFill="1" applyBorder="1" applyAlignment="1"/>
    <xf numFmtId="1" fontId="41" fillId="0" borderId="0" xfId="216" applyNumberFormat="1" applyFont="1" applyFill="1" applyBorder="1" applyAlignment="1"/>
    <xf numFmtId="165" fontId="41" fillId="0" borderId="0" xfId="0" applyNumberFormat="1" applyFont="1"/>
    <xf numFmtId="166" fontId="41" fillId="0" borderId="0" xfId="0" applyNumberFormat="1" applyFont="1"/>
    <xf numFmtId="0" fontId="41" fillId="0" borderId="9" xfId="0" applyFont="1" applyBorder="1"/>
    <xf numFmtId="0" fontId="41" fillId="0" borderId="0" xfId="0" applyFont="1" applyAlignment="1">
      <alignment horizontal="left"/>
    </xf>
    <xf numFmtId="0" fontId="42" fillId="21" borderId="23" xfId="0" applyFont="1" applyFill="1" applyBorder="1"/>
    <xf numFmtId="0" fontId="41" fillId="0" borderId="3" xfId="0" applyFont="1" applyBorder="1"/>
    <xf numFmtId="0" fontId="42" fillId="21" borderId="3" xfId="0" applyFont="1" applyFill="1" applyBorder="1"/>
    <xf numFmtId="0" fontId="8" fillId="22" borderId="3" xfId="0" applyFont="1" applyFill="1" applyBorder="1"/>
    <xf numFmtId="0" fontId="41" fillId="21" borderId="24" xfId="0" applyFont="1" applyFill="1" applyBorder="1" applyAlignment="1">
      <alignment vertical="center" wrapText="1"/>
    </xf>
    <xf numFmtId="165" fontId="41" fillId="21" borderId="24" xfId="0" applyNumberFormat="1" applyFont="1" applyFill="1" applyBorder="1" applyAlignment="1">
      <alignment vertical="center" wrapText="1"/>
    </xf>
    <xf numFmtId="0" fontId="41" fillId="21" borderId="24" xfId="0" applyFont="1" applyFill="1" applyBorder="1" applyAlignment="1">
      <alignment horizontal="left" vertical="center" wrapText="1"/>
    </xf>
    <xf numFmtId="0" fontId="41" fillId="21" borderId="24" xfId="0" applyFont="1" applyFill="1" applyBorder="1" applyAlignment="1">
      <alignment vertical="center" wrapText="1" shrinkToFit="1"/>
    </xf>
    <xf numFmtId="0" fontId="43" fillId="0" borderId="0" xfId="0" applyFont="1"/>
    <xf numFmtId="0" fontId="43" fillId="0" borderId="0" xfId="0" applyFont="1" applyAlignment="1">
      <alignment wrapText="1"/>
    </xf>
    <xf numFmtId="0" fontId="42" fillId="62" borderId="25" xfId="0" applyFont="1" applyFill="1" applyBorder="1" applyAlignment="1">
      <alignment vertical="center" wrapText="1"/>
    </xf>
    <xf numFmtId="0" fontId="41" fillId="61" borderId="26" xfId="0" applyFont="1" applyFill="1" applyBorder="1" applyAlignment="1">
      <alignment horizontal="left" vertical="center" wrapText="1" indent="1"/>
    </xf>
    <xf numFmtId="0" fontId="41" fillId="61" borderId="1" xfId="0" applyFont="1" applyFill="1" applyBorder="1" applyAlignment="1">
      <alignment horizontal="left" vertical="center" wrapText="1" indent="1"/>
    </xf>
    <xf numFmtId="0" fontId="41" fillId="61" borderId="1" xfId="0" applyFont="1" applyFill="1" applyBorder="1" applyAlignment="1">
      <alignment vertical="center" wrapText="1"/>
    </xf>
    <xf numFmtId="0" fontId="41" fillId="61" borderId="26" xfId="0" applyFont="1" applyFill="1" applyBorder="1" applyAlignment="1">
      <alignment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21" borderId="27" xfId="0" applyFont="1" applyFill="1" applyBorder="1" applyAlignment="1">
      <alignment vertical="center" wrapText="1"/>
    </xf>
    <xf numFmtId="0" fontId="41" fillId="21" borderId="16" xfId="0" applyFont="1" applyFill="1" applyBorder="1" applyAlignment="1">
      <alignment vertical="center" wrapText="1"/>
    </xf>
    <xf numFmtId="0" fontId="42" fillId="21" borderId="18" xfId="0" applyFont="1" applyFill="1" applyBorder="1" applyAlignment="1">
      <alignment vertical="center" wrapText="1"/>
    </xf>
    <xf numFmtId="0" fontId="41" fillId="21" borderId="28" xfId="0" applyFont="1" applyFill="1" applyBorder="1" applyAlignment="1">
      <alignment vertical="center" wrapText="1"/>
    </xf>
    <xf numFmtId="0" fontId="42" fillId="21" borderId="29" xfId="0" applyFont="1" applyFill="1" applyBorder="1" applyAlignment="1">
      <alignment vertical="center" wrapText="1"/>
    </xf>
    <xf numFmtId="0" fontId="2" fillId="62" borderId="30" xfId="0" applyFont="1" applyFill="1" applyBorder="1" applyAlignment="1">
      <alignment horizontal="left" vertical="center" wrapText="1"/>
    </xf>
    <xf numFmtId="0" fontId="42" fillId="22" borderId="3" xfId="0" applyFont="1" applyFill="1" applyBorder="1" applyAlignment="1">
      <alignment wrapText="1"/>
    </xf>
    <xf numFmtId="0" fontId="41" fillId="94" borderId="24" xfId="0" applyFont="1" applyFill="1" applyBorder="1" applyAlignment="1">
      <alignment vertical="center" wrapText="1"/>
    </xf>
    <xf numFmtId="165" fontId="41" fillId="94" borderId="24" xfId="0" applyNumberFormat="1" applyFont="1" applyFill="1" applyBorder="1" applyAlignment="1">
      <alignment vertical="center" wrapText="1"/>
    </xf>
    <xf numFmtId="0" fontId="41" fillId="94" borderId="24" xfId="0" applyFont="1" applyFill="1" applyBorder="1" applyAlignment="1">
      <alignment horizontal="center" vertical="center" wrapText="1"/>
    </xf>
    <xf numFmtId="0" fontId="41" fillId="94" borderId="24" xfId="0" applyFont="1" applyFill="1" applyBorder="1" applyAlignment="1">
      <alignment horizontal="left" vertical="top" wrapText="1"/>
    </xf>
    <xf numFmtId="0" fontId="41" fillId="94" borderId="24" xfId="0" applyFont="1" applyFill="1" applyBorder="1" applyAlignment="1">
      <alignment horizontal="left" vertical="center" wrapText="1"/>
    </xf>
    <xf numFmtId="0" fontId="41" fillId="94" borderId="24" xfId="209" applyFont="1" applyFill="1" applyBorder="1" applyAlignment="1">
      <alignment horizontal="left" vertical="center" wrapText="1"/>
    </xf>
    <xf numFmtId="0" fontId="41" fillId="94" borderId="24" xfId="0" applyFont="1" applyFill="1" applyBorder="1" applyAlignment="1">
      <alignment horizontal="left" vertical="center" wrapText="1" shrinkToFit="1"/>
    </xf>
    <xf numFmtId="0" fontId="42" fillId="21" borderId="31" xfId="0" applyFont="1" applyFill="1" applyBorder="1" applyAlignment="1">
      <alignment wrapText="1"/>
    </xf>
    <xf numFmtId="0" fontId="41" fillId="94" borderId="24" xfId="209" applyFont="1" applyFill="1" applyBorder="1" applyAlignment="1">
      <alignment vertical="center" wrapText="1"/>
    </xf>
    <xf numFmtId="0" fontId="41" fillId="94" borderId="24" xfId="0" applyFont="1" applyFill="1" applyBorder="1" applyAlignment="1">
      <alignment vertical="center" wrapText="1" shrinkToFit="1"/>
    </xf>
    <xf numFmtId="2" fontId="41" fillId="94" borderId="24" xfId="0" applyNumberFormat="1" applyFont="1" applyFill="1" applyBorder="1" applyAlignment="1">
      <alignment vertical="center" wrapText="1" shrinkToFit="1"/>
    </xf>
    <xf numFmtId="166" fontId="41" fillId="94" borderId="24" xfId="0" applyNumberFormat="1" applyFont="1" applyFill="1" applyBorder="1" applyAlignment="1">
      <alignment vertical="center" wrapText="1"/>
    </xf>
    <xf numFmtId="2" fontId="41" fillId="94" borderId="24" xfId="0" applyNumberFormat="1" applyFont="1" applyFill="1" applyBorder="1" applyAlignment="1">
      <alignment vertical="center" wrapText="1"/>
    </xf>
    <xf numFmtId="10" fontId="41" fillId="94" borderId="24" xfId="0" applyNumberFormat="1" applyFont="1" applyFill="1" applyBorder="1" applyAlignment="1">
      <alignment vertical="center" wrapText="1"/>
    </xf>
    <xf numFmtId="0" fontId="28" fillId="4" borderId="4" xfId="199" applyFill="1" applyBorder="1" applyAlignment="1">
      <alignment horizontal="left" indent="1"/>
    </xf>
    <xf numFmtId="0" fontId="42" fillId="61" borderId="32" xfId="0" applyFont="1" applyFill="1" applyBorder="1" applyAlignment="1">
      <alignment horizontal="left" vertical="center" wrapText="1"/>
    </xf>
    <xf numFmtId="0" fontId="42" fillId="61" borderId="5" xfId="0" applyFont="1" applyFill="1" applyBorder="1" applyAlignment="1">
      <alignment horizontal="left" vertical="center"/>
    </xf>
    <xf numFmtId="0" fontId="42" fillId="61" borderId="31" xfId="0" applyFont="1" applyFill="1" applyBorder="1" applyAlignment="1">
      <alignment horizontal="left" vertical="center" wrapText="1"/>
    </xf>
    <xf numFmtId="0" fontId="42" fillId="61" borderId="33" xfId="0" applyFont="1" applyFill="1" applyBorder="1" applyAlignment="1">
      <alignment horizontal="left" vertical="center"/>
    </xf>
    <xf numFmtId="0" fontId="42" fillId="61" borderId="34" xfId="0" applyFont="1" applyFill="1" applyBorder="1" applyAlignment="1">
      <alignment horizontal="left" vertical="center" wrapText="1"/>
    </xf>
    <xf numFmtId="0" fontId="42" fillId="61" borderId="0" xfId="0" applyFont="1" applyFill="1" applyAlignment="1">
      <alignment horizontal="left" vertical="center"/>
    </xf>
    <xf numFmtId="0" fontId="42" fillId="61" borderId="25" xfId="0" applyFont="1" applyFill="1" applyBorder="1" applyAlignment="1">
      <alignment horizontal="center" vertical="center" wrapText="1"/>
    </xf>
    <xf numFmtId="0" fontId="42" fillId="61" borderId="2" xfId="0" applyFont="1" applyFill="1" applyBorder="1" applyAlignment="1">
      <alignment horizontal="center" vertical="center"/>
    </xf>
    <xf numFmtId="0" fontId="42" fillId="61" borderId="12" xfId="0" applyFont="1" applyFill="1" applyBorder="1" applyAlignment="1">
      <alignment horizontal="center" vertical="center"/>
    </xf>
    <xf numFmtId="0" fontId="42" fillId="61" borderId="32" xfId="0" applyFont="1" applyFill="1" applyBorder="1" applyAlignment="1">
      <alignment horizontal="left" wrapText="1"/>
    </xf>
    <xf numFmtId="0" fontId="42" fillId="61" borderId="35" xfId="0" applyFont="1" applyFill="1" applyBorder="1" applyAlignment="1">
      <alignment horizontal="left"/>
    </xf>
    <xf numFmtId="0" fontId="42" fillId="61" borderId="25" xfId="0" applyFont="1" applyFill="1" applyBorder="1" applyAlignment="1">
      <alignment horizontal="left" vertical="center" wrapText="1"/>
    </xf>
    <xf numFmtId="0" fontId="42" fillId="61" borderId="12" xfId="0" applyFont="1" applyFill="1" applyBorder="1" applyAlignment="1">
      <alignment horizontal="left" vertical="center"/>
    </xf>
    <xf numFmtId="0" fontId="42" fillId="23" borderId="36" xfId="0" applyFont="1" applyFill="1" applyBorder="1" applyAlignment="1">
      <alignment horizontal="center" wrapText="1"/>
    </xf>
    <xf numFmtId="0" fontId="8" fillId="23" borderId="37" xfId="0" applyFont="1" applyFill="1" applyBorder="1" applyAlignment="1">
      <alignment horizontal="center"/>
    </xf>
    <xf numFmtId="0" fontId="42" fillId="23" borderId="38" xfId="0" applyFont="1" applyFill="1" applyBorder="1" applyAlignment="1">
      <alignment horizontal="center" wrapText="1"/>
    </xf>
    <xf numFmtId="0" fontId="42" fillId="22" borderId="2" xfId="0" applyFont="1" applyFill="1" applyBorder="1" applyAlignment="1">
      <alignment wrapText="1"/>
    </xf>
    <xf numFmtId="0" fontId="8" fillId="22" borderId="2" xfId="0" applyFont="1" applyFill="1" applyBorder="1"/>
    <xf numFmtId="0" fontId="8" fillId="22" borderId="12" xfId="0" applyFont="1" applyFill="1" applyBorder="1"/>
    <xf numFmtId="0" fontId="42" fillId="22" borderId="3" xfId="0" applyFont="1" applyFill="1" applyBorder="1" applyAlignment="1">
      <alignment horizontal="left" wrapText="1"/>
    </xf>
    <xf numFmtId="0" fontId="8" fillId="22" borderId="3" xfId="0" applyFont="1" applyFill="1" applyBorder="1" applyAlignment="1">
      <alignment horizontal="left"/>
    </xf>
    <xf numFmtId="0" fontId="8" fillId="22" borderId="3" xfId="0" applyFont="1" applyFill="1" applyBorder="1" applyAlignment="1">
      <alignment horizontal="center"/>
    </xf>
    <xf numFmtId="0" fontId="41" fillId="22" borderId="39" xfId="0" applyFont="1" applyFill="1" applyBorder="1" applyAlignment="1">
      <alignment horizontal="left" wrapText="1"/>
    </xf>
    <xf numFmtId="0" fontId="2" fillId="22" borderId="40" xfId="0" applyFont="1" applyFill="1" applyBorder="1" applyAlignment="1">
      <alignment horizontal="left"/>
    </xf>
    <xf numFmtId="0" fontId="41" fillId="0" borderId="3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41" xfId="0" applyFont="1" applyBorder="1" applyAlignment="1">
      <alignment horizontal="center"/>
    </xf>
    <xf numFmtId="0" fontId="42" fillId="0" borderId="40" xfId="0" applyFont="1" applyBorder="1" applyAlignment="1">
      <alignment horizontal="left" wrapText="1"/>
    </xf>
    <xf numFmtId="0" fontId="9" fillId="0" borderId="0" xfId="0" applyFont="1" applyAlignment="1">
      <alignment horizontal="left"/>
    </xf>
    <xf numFmtId="0" fontId="41" fillId="22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left" vertical="top"/>
    </xf>
    <xf numFmtId="0" fontId="41" fillId="0" borderId="4" xfId="0" applyFont="1" applyBorder="1" applyAlignment="1">
      <alignment horizontal="left" vertical="top" wrapText="1"/>
    </xf>
    <xf numFmtId="2" fontId="41" fillId="0" borderId="4" xfId="0" applyNumberFormat="1" applyFont="1" applyBorder="1" applyAlignment="1">
      <alignment horizontal="left" vertical="top" wrapText="1"/>
    </xf>
    <xf numFmtId="0" fontId="42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/>
    </xf>
    <xf numFmtId="0" fontId="41" fillId="22" borderId="39" xfId="0" applyFont="1" applyFill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vertical="top"/>
    </xf>
    <xf numFmtId="0" fontId="10" fillId="22" borderId="41" xfId="0" applyFont="1" applyFill="1" applyBorder="1" applyAlignment="1">
      <alignment horizontal="left"/>
    </xf>
    <xf numFmtId="2" fontId="41" fillId="0" borderId="39" xfId="0" applyNumberFormat="1" applyFont="1" applyBorder="1" applyAlignment="1">
      <alignment horizontal="left" vertical="top" wrapText="1"/>
    </xf>
    <xf numFmtId="2" fontId="41" fillId="0" borderId="40" xfId="0" applyNumberFormat="1" applyFont="1" applyBorder="1" applyAlignment="1">
      <alignment horizontal="left" vertical="top" wrapText="1"/>
    </xf>
    <xf numFmtId="2" fontId="41" fillId="0" borderId="41" xfId="0" applyNumberFormat="1" applyFont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vertical="top" wrapText="1"/>
    </xf>
    <xf numFmtId="0" fontId="2" fillId="22" borderId="41" xfId="0" applyFont="1" applyFill="1" applyBorder="1" applyAlignment="1">
      <alignment horizontal="left"/>
    </xf>
    <xf numFmtId="0" fontId="42" fillId="21" borderId="34" xfId="0" applyFont="1" applyFill="1" applyBorder="1" applyAlignment="1">
      <alignment horizontal="left" wrapText="1"/>
    </xf>
    <xf numFmtId="0" fontId="42" fillId="21" borderId="3" xfId="0" applyFont="1" applyFill="1" applyBorder="1" applyAlignment="1">
      <alignment horizontal="left"/>
    </xf>
    <xf numFmtId="0" fontId="2" fillId="22" borderId="42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41" fillId="23" borderId="39" xfId="0" applyFont="1" applyFill="1" applyBorder="1" applyAlignment="1">
      <alignment horizontal="left" vertical="top" wrapText="1"/>
    </xf>
    <xf numFmtId="0" fontId="10" fillId="23" borderId="41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42" fillId="21" borderId="31" xfId="0" applyFont="1" applyFill="1" applyBorder="1" applyAlignment="1">
      <alignment wrapText="1"/>
    </xf>
    <xf numFmtId="0" fontId="42" fillId="21" borderId="23" xfId="0" applyFont="1" applyFill="1" applyBorder="1"/>
    <xf numFmtId="0" fontId="42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41" fillId="23" borderId="39" xfId="0" applyFont="1" applyFill="1" applyBorder="1" applyAlignment="1">
      <alignment horizontal="left" wrapText="1"/>
    </xf>
    <xf numFmtId="0" fontId="10" fillId="23" borderId="41" xfId="0" applyFont="1" applyFill="1" applyBorder="1" applyAlignment="1">
      <alignment horizontal="left"/>
    </xf>
    <xf numFmtId="0" fontId="2" fillId="22" borderId="4" xfId="0" applyFont="1" applyFill="1" applyBorder="1" applyAlignment="1">
      <alignment horizontal="left" vertical="top" wrapText="1"/>
    </xf>
    <xf numFmtId="0" fontId="42" fillId="21" borderId="34" xfId="0" applyFont="1" applyFill="1" applyBorder="1" applyAlignment="1">
      <alignment horizontal="center"/>
    </xf>
    <xf numFmtId="0" fontId="42" fillId="21" borderId="3" xfId="0" applyFont="1" applyFill="1" applyBorder="1" applyAlignment="1">
      <alignment horizontal="center"/>
    </xf>
    <xf numFmtId="0" fontId="42" fillId="22" borderId="31" xfId="0" applyFont="1" applyFill="1" applyBorder="1" applyAlignment="1">
      <alignment horizontal="left" wrapText="1"/>
    </xf>
    <xf numFmtId="0" fontId="8" fillId="22" borderId="23" xfId="0" applyFont="1" applyFill="1" applyBorder="1" applyAlignment="1">
      <alignment horizontal="left"/>
    </xf>
    <xf numFmtId="0" fontId="8" fillId="22" borderId="33" xfId="0" applyFont="1" applyFill="1" applyBorder="1" applyAlignment="1">
      <alignment horizontal="left"/>
    </xf>
    <xf numFmtId="0" fontId="42" fillId="21" borderId="34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/>
    </xf>
    <xf numFmtId="0" fontId="10" fillId="4" borderId="40" xfId="0" applyFont="1" applyFill="1" applyBorder="1" applyAlignment="1">
      <alignment horizontal="left"/>
    </xf>
    <xf numFmtId="0" fontId="10" fillId="4" borderId="41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 vertical="top"/>
    </xf>
    <xf numFmtId="0" fontId="10" fillId="4" borderId="40" xfId="0" applyFont="1" applyFill="1" applyBorder="1" applyAlignment="1">
      <alignment horizontal="left" vertical="top"/>
    </xf>
    <xf numFmtId="0" fontId="10" fillId="4" borderId="41" xfId="0" applyFont="1" applyFill="1" applyBorder="1" applyAlignment="1">
      <alignment horizontal="left" vertical="top"/>
    </xf>
    <xf numFmtId="0" fontId="41" fillId="21" borderId="39" xfId="0" applyFont="1" applyFill="1" applyBorder="1" applyAlignment="1">
      <alignment horizontal="center"/>
    </xf>
    <xf numFmtId="0" fontId="41" fillId="21" borderId="40" xfId="0" applyFont="1" applyFill="1" applyBorder="1" applyAlignment="1">
      <alignment horizontal="center"/>
    </xf>
    <xf numFmtId="0" fontId="41" fillId="21" borderId="41" xfId="0" applyFont="1" applyFill="1" applyBorder="1" applyAlignment="1">
      <alignment horizontal="center"/>
    </xf>
    <xf numFmtId="0" fontId="10" fillId="22" borderId="40" xfId="0" applyFont="1" applyFill="1" applyBorder="1" applyAlignment="1">
      <alignment horizontal="left"/>
    </xf>
    <xf numFmtId="0" fontId="10" fillId="22" borderId="40" xfId="0" applyFont="1" applyFill="1" applyBorder="1" applyAlignment="1">
      <alignment horizontal="left" vertical="top"/>
    </xf>
    <xf numFmtId="0" fontId="41" fillId="21" borderId="39" xfId="0" applyFont="1" applyFill="1" applyBorder="1" applyAlignment="1">
      <alignment horizontal="center" wrapText="1"/>
    </xf>
    <xf numFmtId="0" fontId="10" fillId="0" borderId="39" xfId="0" quotePrefix="1" applyFont="1" applyBorder="1" applyAlignment="1">
      <alignment horizontal="left" vertical="top" wrapText="1"/>
    </xf>
    <xf numFmtId="0" fontId="10" fillId="0" borderId="40" xfId="0" quotePrefix="1" applyFont="1" applyBorder="1" applyAlignment="1">
      <alignment horizontal="left" vertical="top" wrapText="1"/>
    </xf>
    <xf numFmtId="0" fontId="10" fillId="0" borderId="41" xfId="0" quotePrefix="1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wrapText="1"/>
    </xf>
    <xf numFmtId="0" fontId="42" fillId="21" borderId="39" xfId="0" applyFont="1" applyFill="1" applyBorder="1" applyAlignment="1">
      <alignment horizontal="left" wrapText="1"/>
    </xf>
    <xf numFmtId="0" fontId="42" fillId="21" borderId="40" xfId="0" applyFont="1" applyFill="1" applyBorder="1" applyAlignment="1">
      <alignment horizontal="left"/>
    </xf>
    <xf numFmtId="0" fontId="42" fillId="21" borderId="39" xfId="0" applyFont="1" applyFill="1" applyBorder="1" applyAlignment="1">
      <alignment horizontal="left"/>
    </xf>
    <xf numFmtId="0" fontId="42" fillId="21" borderId="40" xfId="0" applyFont="1" applyFill="1" applyBorder="1" applyAlignment="1">
      <alignment horizontal="left" wrapText="1"/>
    </xf>
    <xf numFmtId="0" fontId="42" fillId="21" borderId="43" xfId="0" applyFont="1" applyFill="1" applyBorder="1" applyAlignment="1">
      <alignment horizontal="left" wrapText="1"/>
    </xf>
    <xf numFmtId="0" fontId="42" fillId="21" borderId="0" xfId="0" applyFont="1" applyFill="1" applyAlignment="1">
      <alignment horizontal="left"/>
    </xf>
    <xf numFmtId="0" fontId="41" fillId="21" borderId="4" xfId="0" applyFont="1" applyFill="1" applyBorder="1" applyAlignment="1">
      <alignment horizontal="center" wrapText="1"/>
    </xf>
    <xf numFmtId="0" fontId="41" fillId="21" borderId="4" xfId="0" applyFont="1" applyFill="1" applyBorder="1" applyAlignment="1">
      <alignment horizontal="center"/>
    </xf>
    <xf numFmtId="43" fontId="42" fillId="21" borderId="43" xfId="172" applyFont="1" applyFill="1" applyBorder="1" applyAlignment="1">
      <alignment horizontal="left" wrapText="1"/>
    </xf>
    <xf numFmtId="43" fontId="42" fillId="21" borderId="0" xfId="172" applyFont="1" applyFill="1" applyBorder="1" applyAlignment="1">
      <alignment horizontal="left"/>
    </xf>
    <xf numFmtId="0" fontId="41" fillId="0" borderId="39" xfId="0" applyFont="1" applyBorder="1" applyAlignment="1">
      <alignment horizontal="left" vertical="top" wrapText="1"/>
    </xf>
    <xf numFmtId="0" fontId="41" fillId="0" borderId="41" xfId="0" applyFont="1" applyBorder="1" applyAlignment="1">
      <alignment horizontal="left" vertical="top" wrapText="1"/>
    </xf>
  </cellXfs>
  <cellStyles count="226">
    <cellStyle name="20% - Accent1" xfId="1" builtinId="30" customBuiltin="1"/>
    <cellStyle name="20% - Accent1 2" xfId="2" xr:uid="{BF56E403-BDAE-8746-928B-9C0560770D16}"/>
    <cellStyle name="20% - Accent1 2 2" xfId="3" xr:uid="{19234DB9-E681-2147-AF2B-6804D5CDF39C}"/>
    <cellStyle name="20% - Accent1 2 2 2" xfId="4" xr:uid="{B727A7CD-AC47-2E4C-B468-D50CD1ACFB86}"/>
    <cellStyle name="20% - Accent1 2 2 2 2" xfId="5" xr:uid="{F16906E3-F3A5-D34D-A14F-587F4CB232BD}"/>
    <cellStyle name="20% - Accent1 3" xfId="6" xr:uid="{0AF04C90-6A1D-5440-BEA0-BA6EF76A86AA}"/>
    <cellStyle name="20% - Accent1 3 2" xfId="7" xr:uid="{C5A5B25B-E41C-894F-A1C1-B18021B68948}"/>
    <cellStyle name="20% - Accent1 3 2 2" xfId="8" xr:uid="{CD138255-B2DB-7348-B32B-F3940F6A10D7}"/>
    <cellStyle name="20% - Accent1 3 2 2 2" xfId="9" xr:uid="{C566D8C4-CFB1-A04F-89FC-831A882B0827}"/>
    <cellStyle name="20% - Accent2" xfId="10" builtinId="34" customBuiltin="1"/>
    <cellStyle name="20% - Accent2 2" xfId="11" xr:uid="{BB827ADD-7AA5-C842-BC3E-32A1BEDA9EDD}"/>
    <cellStyle name="20% - Accent2 2 2" xfId="12" xr:uid="{7875BA7A-4773-334E-8E7D-180915D06446}"/>
    <cellStyle name="20% - Accent2 2 2 2" xfId="13" xr:uid="{2E12BF96-F565-1149-A6A8-AC66D554E3EE}"/>
    <cellStyle name="20% - Accent2 2 2 2 2" xfId="14" xr:uid="{EE8DC194-7EBC-6E4E-8E6D-4495D65B2312}"/>
    <cellStyle name="20% - Accent2 3" xfId="15" xr:uid="{B97009D7-FB18-EC46-89AC-84CA70664362}"/>
    <cellStyle name="20% - Accent2 3 2" xfId="16" xr:uid="{448CA61D-A80E-0F48-95CD-B20258775996}"/>
    <cellStyle name="20% - Accent2 3 2 2" xfId="17" xr:uid="{A80ACCCB-E549-4543-A54A-27FEA34030E5}"/>
    <cellStyle name="20% - Accent2 3 2 2 2" xfId="18" xr:uid="{8E90897C-3611-D647-85E4-6215E2B6B9CC}"/>
    <cellStyle name="20% - Accent3" xfId="19" builtinId="38" customBuiltin="1"/>
    <cellStyle name="20% - Accent3 2" xfId="20" xr:uid="{BC545B0A-9C36-2340-AA1A-EE7EA285CDEA}"/>
    <cellStyle name="20% - Accent3 2 2" xfId="21" xr:uid="{DC7DCC05-FEFD-3C4A-B782-2C3CB6031D61}"/>
    <cellStyle name="20% - Accent3 2 2 2" xfId="22" xr:uid="{CACDE8CB-1281-A747-A7FF-AF9AFB227742}"/>
    <cellStyle name="20% - Accent3 2 2 2 2" xfId="23" xr:uid="{864CFACE-8C8F-884C-B592-B16DB56099AA}"/>
    <cellStyle name="20% - Accent3 3" xfId="24" xr:uid="{7A57164F-0735-2744-A43C-CECB84619B89}"/>
    <cellStyle name="20% - Accent3 3 2" xfId="25" xr:uid="{B053DE38-783D-1A45-B59C-B43F669E3989}"/>
    <cellStyle name="20% - Accent3 3 2 2" xfId="26" xr:uid="{F0D40896-CF9F-4B49-8F95-B713D2E57B49}"/>
    <cellStyle name="20% - Accent3 3 2 2 2" xfId="27" xr:uid="{3C6CD3B2-738E-5049-86CB-3FDB546A2B20}"/>
    <cellStyle name="20% - Accent4" xfId="28" builtinId="42" customBuiltin="1"/>
    <cellStyle name="20% - Accent4 2" xfId="29" xr:uid="{3997680C-4030-884E-9CB8-E5814C6CA4EA}"/>
    <cellStyle name="20% - Accent4 2 2" xfId="30" xr:uid="{2B8C0693-336E-004C-A551-C8B1BC996162}"/>
    <cellStyle name="20% - Accent4 2 2 2" xfId="31" xr:uid="{72353406-5151-864A-BA3C-C01D8AE29F9D}"/>
    <cellStyle name="20% - Accent4 2 2 2 2" xfId="32" xr:uid="{247EE3D5-52CE-0E4F-8C7E-84F32153FCB0}"/>
    <cellStyle name="20% - Accent4 3" xfId="33" xr:uid="{CECE7A31-263C-5C4B-A7BA-A9B93254F441}"/>
    <cellStyle name="20% - Accent4 3 2" xfId="34" xr:uid="{E906DC4E-4B94-BC4F-998E-40D493BEE87E}"/>
    <cellStyle name="20% - Accent4 3 2 2" xfId="35" xr:uid="{6C491131-0EDC-A341-8BD5-7F622B17ED7A}"/>
    <cellStyle name="20% - Accent4 3 2 2 2" xfId="36" xr:uid="{4777E6E7-F1B8-614A-9509-CE37B9F44C1A}"/>
    <cellStyle name="20% - Accent5" xfId="37" builtinId="46" customBuiltin="1"/>
    <cellStyle name="20% - Accent5 2" xfId="38" xr:uid="{8E3BC220-9AEA-7843-AFB6-348F259C6A21}"/>
    <cellStyle name="20% - Accent5 2 2" xfId="39" xr:uid="{9BC81C46-E4F4-9849-8D94-7CCF33C00123}"/>
    <cellStyle name="20% - Accent5 2 2 2" xfId="40" xr:uid="{286AC2D5-9CA9-644E-BCB5-75FAD2EF2F75}"/>
    <cellStyle name="20% - Accent5 2 2 2 2" xfId="41" xr:uid="{517375AE-0630-A148-BCE6-16A3624AF97C}"/>
    <cellStyle name="20% - Accent5 3" xfId="42" xr:uid="{46EF4FDE-2ED6-8E4C-97C8-3FCFD3E5460A}"/>
    <cellStyle name="20% - Accent5 3 2" xfId="43" xr:uid="{E542168F-4502-D241-9D6B-B375AD405A31}"/>
    <cellStyle name="20% - Accent5 3 2 2" xfId="44" xr:uid="{6085E0B6-2703-DE48-8F05-DF3A9F4D39CB}"/>
    <cellStyle name="20% - Accent5 3 2 2 2" xfId="45" xr:uid="{FBF9F4F7-6A0B-5E40-9480-D6637C4D1154}"/>
    <cellStyle name="20% - Accent6" xfId="46" builtinId="50" customBuiltin="1"/>
    <cellStyle name="20% - Accent6 2" xfId="47" xr:uid="{32C2E50F-0703-2849-A544-F54495C3410B}"/>
    <cellStyle name="20% - Accent6 2 2" xfId="48" xr:uid="{9218D0E2-664F-994F-9E15-70E9351B24AF}"/>
    <cellStyle name="20% - Accent6 2 2 2" xfId="49" xr:uid="{F50196E2-2916-D344-9072-4E6C49F113CA}"/>
    <cellStyle name="20% - Accent6 2 2 2 2" xfId="50" xr:uid="{C2A0A9E2-2AFA-664A-9789-AE4E8495D8A3}"/>
    <cellStyle name="20% - Accent6 3" xfId="51" xr:uid="{7212A89C-BA16-1D4F-A254-B6536C812041}"/>
    <cellStyle name="20% - Accent6 3 2" xfId="52" xr:uid="{62D0F67B-F1E7-954C-8E47-28744C10FCD3}"/>
    <cellStyle name="20% - Accent6 3 2 2" xfId="53" xr:uid="{763EEE9C-3ACF-BF46-8F7B-E3CFE12500FB}"/>
    <cellStyle name="20% - Accent6 3 2 2 2" xfId="54" xr:uid="{94991F96-DC99-1640-8976-179A55E261A0}"/>
    <cellStyle name="40% - Accent1" xfId="55" builtinId="31" customBuiltin="1"/>
    <cellStyle name="40% - Accent1 2" xfId="56" xr:uid="{363367F0-94A5-4B44-87B2-C817C165CAFF}"/>
    <cellStyle name="40% - Accent1 2 2" xfId="57" xr:uid="{434EB16B-CC73-6D4D-BE7F-FD4CC8E731C3}"/>
    <cellStyle name="40% - Accent1 2 2 2" xfId="58" xr:uid="{980C09F3-44EB-444A-8D0C-B925B7F25A38}"/>
    <cellStyle name="40% - Accent1 2 2 2 2" xfId="59" xr:uid="{11D7FD8B-BBAF-5B4C-912C-FA1C07C04581}"/>
    <cellStyle name="40% - Accent1 2 2 2 2 2" xfId="60" xr:uid="{1B7100FF-23CD-2640-86F3-49D6074839AF}"/>
    <cellStyle name="40% - Accent1 2 2 2 2 2 2" xfId="61" xr:uid="{997B464F-388E-794F-A096-61CDDC51BB00}"/>
    <cellStyle name="40% - Accent1 2 2 2 2 2 2 2" xfId="62" xr:uid="{9645CA04-E550-7945-9738-AAE98C096C86}"/>
    <cellStyle name="40% - Accent1 3" xfId="63" xr:uid="{75BF4CAA-C980-204E-ABF6-74F6CEB616B7}"/>
    <cellStyle name="40% - Accent1 3 2" xfId="64" xr:uid="{2064F8F4-E0FE-D846-8926-D1A83041EF19}"/>
    <cellStyle name="40% - Accent1 3 2 2" xfId="65" xr:uid="{E9A33669-A1DA-9345-98B6-C3C4C9882DCE}"/>
    <cellStyle name="40% - Accent1 3 2 2 2" xfId="66" xr:uid="{307ED848-2557-B446-BEC7-CEBA6AF12DD3}"/>
    <cellStyle name="40% - Accent2" xfId="67" builtinId="35" customBuiltin="1"/>
    <cellStyle name="40% - Accent2 2" xfId="68" xr:uid="{B31888BA-BD2F-E34B-BFCF-BBBB788DD5E3}"/>
    <cellStyle name="40% - Accent2 2 2" xfId="69" xr:uid="{DE962E42-3367-4247-A5C3-85A84D936954}"/>
    <cellStyle name="40% - Accent2 2 2 2" xfId="70" xr:uid="{083D0D7D-19D2-7C48-85BB-988CABE7EBEE}"/>
    <cellStyle name="40% - Accent2 2 2 2 2" xfId="71" xr:uid="{CD4C2BB5-0C86-C94E-9289-255B00225D19}"/>
    <cellStyle name="40% - Accent2 2 2 2 2 2" xfId="72" xr:uid="{6074F3BF-1846-7C4A-81FD-9EEE9CF56310}"/>
    <cellStyle name="40% - Accent2 2 2 2 2 2 2" xfId="73" xr:uid="{8B76F907-CDE7-6841-BB47-FB88F5C5F9EF}"/>
    <cellStyle name="40% - Accent2 2 2 2 2 2 2 2" xfId="74" xr:uid="{F2CB4B41-A000-884E-88C2-4F4D27C93CA3}"/>
    <cellStyle name="40% - Accent2 3" xfId="75" xr:uid="{54C1AB32-E99B-FE4C-8BDE-29765D0E1910}"/>
    <cellStyle name="40% - Accent2 3 2" xfId="76" xr:uid="{C36CFB96-CECD-F44C-902F-793C820A3323}"/>
    <cellStyle name="40% - Accent2 3 2 2" xfId="77" xr:uid="{131BBA2B-EEE0-2349-AA24-9DB5892503FF}"/>
    <cellStyle name="40% - Accent2 3 2 2 2" xfId="78" xr:uid="{5938EFF9-86D2-E74E-BB4F-DFBA070AFE5A}"/>
    <cellStyle name="40% - Accent3" xfId="79" builtinId="39" customBuiltin="1"/>
    <cellStyle name="40% - Accent3 2" xfId="80" xr:uid="{CAA09546-0B7C-F144-8825-8BFBB4E22CE9}"/>
    <cellStyle name="40% - Accent3 2 2" xfId="81" xr:uid="{27B7A072-9ABF-864A-BC19-001A7D0D90B6}"/>
    <cellStyle name="40% - Accent3 2 2 2" xfId="82" xr:uid="{67CC9DA0-E41C-7F4E-99ED-39D2BC7A0CAB}"/>
    <cellStyle name="40% - Accent3 2 2 2 2" xfId="83" xr:uid="{58F5301A-1C75-2B41-9D91-3ED2F4F664F3}"/>
    <cellStyle name="40% - Accent3 2 2 2 2 2" xfId="84" xr:uid="{0FC76722-3E85-6441-8DE9-FBF9B036284F}"/>
    <cellStyle name="40% - Accent3 2 2 2 2 2 2" xfId="85" xr:uid="{51738695-9520-8542-89AD-2D91B1CC3718}"/>
    <cellStyle name="40% - Accent3 2 2 2 2 2 2 2" xfId="86" xr:uid="{90B79FAC-F661-DA44-8521-50DEC8715FDD}"/>
    <cellStyle name="40% - Accent3 3" xfId="87" xr:uid="{44CE50D9-0D6D-3B4E-8086-42C2A14C9F08}"/>
    <cellStyle name="40% - Accent3 3 2" xfId="88" xr:uid="{CF0F6D63-8B3F-7A4F-8B41-1735FF66C3FD}"/>
    <cellStyle name="40% - Accent3 3 2 2" xfId="89" xr:uid="{74A0DD3E-718C-C544-A3E5-C0177DD6FEC3}"/>
    <cellStyle name="40% - Accent3 3 2 2 2" xfId="90" xr:uid="{FBBFB428-02DE-0340-B748-0E9B8FD680F4}"/>
    <cellStyle name="40% - Accent4" xfId="91" builtinId="43" customBuiltin="1"/>
    <cellStyle name="40% - Accent4 2" xfId="92" xr:uid="{B46AB5D1-3A76-5B44-B1F0-17A2F7262194}"/>
    <cellStyle name="40% - Accent4 2 2" xfId="93" xr:uid="{56F00FC5-3844-5B41-8236-6615EB7A362F}"/>
    <cellStyle name="40% - Accent4 2 2 2" xfId="94" xr:uid="{DAE60B65-1F03-2345-99E0-E80956A3642A}"/>
    <cellStyle name="40% - Accent4 2 2 2 2" xfId="95" xr:uid="{C7164AD8-A58A-D34C-A20B-7DBC82A60309}"/>
    <cellStyle name="40% - Accent4 2 2 2 2 2" xfId="96" xr:uid="{9194561C-5E90-1A4D-A1E0-AF393E7DA73D}"/>
    <cellStyle name="40% - Accent4 2 2 2 2 2 2" xfId="97" xr:uid="{71FC5853-359A-7643-85AE-4B29C85D433E}"/>
    <cellStyle name="40% - Accent4 2 2 2 2 2 2 2" xfId="98" xr:uid="{1503B198-60C5-3647-9998-8512EA3A1DDC}"/>
    <cellStyle name="40% - Accent4 3" xfId="99" xr:uid="{A0FD6FFB-2342-2F40-BE32-092D4D4CCBD0}"/>
    <cellStyle name="40% - Accent4 3 2" xfId="100" xr:uid="{6F6CC31E-798E-F84D-88F9-E98D88846F56}"/>
    <cellStyle name="40% - Accent4 3 2 2" xfId="101" xr:uid="{1D04237C-1B2B-C142-8BA7-779CA7F15246}"/>
    <cellStyle name="40% - Accent4 3 2 2 2" xfId="102" xr:uid="{62901EB6-3CB1-1B44-97BB-9562E40E6E8E}"/>
    <cellStyle name="40% - Accent5" xfId="103" builtinId="47" customBuiltin="1"/>
    <cellStyle name="40% - Accent5 2" xfId="104" xr:uid="{EB993E7E-5949-054A-BC93-F34BC52705F5}"/>
    <cellStyle name="40% - Accent5 2 2" xfId="105" xr:uid="{DC35BA09-B2D7-364B-AD66-490F51B66B92}"/>
    <cellStyle name="40% - Accent5 2 2 2" xfId="106" xr:uid="{484B53DA-B847-A544-B367-81176D0A3C21}"/>
    <cellStyle name="40% - Accent5 2 2 2 2" xfId="107" xr:uid="{B152461A-BC2E-874D-800C-F924CF6EAA87}"/>
    <cellStyle name="40% - Accent5 2 2 2 2 2" xfId="108" xr:uid="{7E8E72A1-A5D6-9C4F-8693-84A0F31E0FCB}"/>
    <cellStyle name="40% - Accent5 2 2 2 2 2 2" xfId="109" xr:uid="{B5DB2867-7424-5244-BCAC-B0A9A0F1E0AE}"/>
    <cellStyle name="40% - Accent5 2 2 2 2 2 2 2" xfId="110" xr:uid="{1016541A-B16C-5641-B671-4D6CE8C21B47}"/>
    <cellStyle name="40% - Accent5 3" xfId="111" xr:uid="{BDFBFD6E-B185-F847-8212-CD74B21C4174}"/>
    <cellStyle name="40% - Accent5 3 2" xfId="112" xr:uid="{AD2B32A3-D9DF-FE42-917A-4C4490F11734}"/>
    <cellStyle name="40% - Accent5 3 2 2" xfId="113" xr:uid="{83ECEA36-0859-5D40-8F30-891358FF7376}"/>
    <cellStyle name="40% - Accent5 3 2 2 2" xfId="114" xr:uid="{90758B0F-3F2A-5844-A6BB-EF94F209F3A5}"/>
    <cellStyle name="40% - Accent6" xfId="115" builtinId="51" customBuiltin="1"/>
    <cellStyle name="40% - Accent6 2" xfId="116" xr:uid="{1E74CA32-C030-8347-BCF1-A843E8016B37}"/>
    <cellStyle name="40% - Accent6 2 2" xfId="117" xr:uid="{F227DF4D-7067-2544-BF99-59E38DFFD66F}"/>
    <cellStyle name="40% - Accent6 2 2 2" xfId="118" xr:uid="{1007D303-B043-6146-8770-29C642B74B23}"/>
    <cellStyle name="40% - Accent6 2 2 2 2" xfId="119" xr:uid="{13F5E232-81BB-1043-94DF-193F690FED5F}"/>
    <cellStyle name="40% - Accent6 2 2 2 2 2" xfId="120" xr:uid="{E9FC39B9-11C9-944A-AF52-E2C0CCB78AB5}"/>
    <cellStyle name="40% - Accent6 2 2 2 2 2 2" xfId="121" xr:uid="{815B8E66-6F7A-834F-8C35-47DE72C2C98B}"/>
    <cellStyle name="40% - Accent6 2 2 2 2 2 2 2" xfId="122" xr:uid="{345B9EB9-F937-C848-AD24-21113794A217}"/>
    <cellStyle name="40% - Accent6 3" xfId="123" xr:uid="{9CCCC9CB-F46F-FD42-AD07-E4E4F36892DC}"/>
    <cellStyle name="40% - Accent6 3 2" xfId="124" xr:uid="{2F3127BF-9071-E648-8443-088179B47093}"/>
    <cellStyle name="40% - Accent6 3 2 2" xfId="125" xr:uid="{F512B109-D768-A94E-98E2-D109B29DD247}"/>
    <cellStyle name="40% - Accent6 3 2 2 2" xfId="126" xr:uid="{5914535E-04B1-7F4E-B4D8-F794ACBB80A6}"/>
    <cellStyle name="60% - Accent1" xfId="127" builtinId="32" customBuiltin="1"/>
    <cellStyle name="60% - Accent1 2" xfId="128" xr:uid="{81268EBC-6238-5743-A4C0-7524F2066CC3}"/>
    <cellStyle name="60% - Accent1 3" xfId="129" xr:uid="{44A61F80-C9C8-E145-8BFD-24E3D82C8F8F}"/>
    <cellStyle name="60% - Accent2" xfId="130" builtinId="36" customBuiltin="1"/>
    <cellStyle name="60% - Accent2 2" xfId="131" xr:uid="{D6B2D546-B83C-9D4A-B340-D9A49CD92E83}"/>
    <cellStyle name="60% - Accent2 3" xfId="132" xr:uid="{98646E27-5271-064E-8074-93B125A26F10}"/>
    <cellStyle name="60% - Accent3" xfId="133" builtinId="40" customBuiltin="1"/>
    <cellStyle name="60% - Accent3 2" xfId="134" xr:uid="{A6C5B655-9E15-8843-8F14-B77A377273EA}"/>
    <cellStyle name="60% - Accent3 3" xfId="135" xr:uid="{54526210-7B00-B646-B344-4E18BB4BB20A}"/>
    <cellStyle name="60% - Accent4" xfId="136" builtinId="44" customBuiltin="1"/>
    <cellStyle name="60% - Accent4 2" xfId="137" xr:uid="{BE61911B-AC15-2047-8D54-AF3720A0ED05}"/>
    <cellStyle name="60% - Accent4 3" xfId="138" xr:uid="{115B38F7-7934-4C4B-A1C6-49CB909501B5}"/>
    <cellStyle name="60% - Accent5" xfId="139" builtinId="48" customBuiltin="1"/>
    <cellStyle name="60% - Accent5 2" xfId="140" xr:uid="{66D24E00-D21F-FB4B-A792-A32CED7A24C2}"/>
    <cellStyle name="60% - Accent5 3" xfId="141" xr:uid="{CEBF3714-3B1E-AD49-B6DB-3F01001E0DF5}"/>
    <cellStyle name="60% - Accent6" xfId="142" builtinId="52" customBuiltin="1"/>
    <cellStyle name="60% - Accent6 2" xfId="143" xr:uid="{B5C4380C-53E0-D140-8DEF-5080DB264EE7}"/>
    <cellStyle name="60% - Accent6 3" xfId="144" xr:uid="{50FA8B04-D59B-964C-AC77-B575715591FF}"/>
    <cellStyle name="Accent1" xfId="145" builtinId="29" customBuiltin="1"/>
    <cellStyle name="Accent1 2" xfId="146" xr:uid="{C853DDFD-C93B-A646-ABC6-4A21C47DA3C2}"/>
    <cellStyle name="Accent1 3" xfId="147" xr:uid="{18F18C5A-DBAE-BF4F-92F4-F483A7BEB6B7}"/>
    <cellStyle name="Accent2" xfId="148" builtinId="33" customBuiltin="1"/>
    <cellStyle name="Accent2 2" xfId="149" xr:uid="{2E2DC2EA-583F-8A42-B5A7-1F3BFFDF0D30}"/>
    <cellStyle name="Accent2 3" xfId="150" xr:uid="{8F75B8C1-691C-C14B-A402-D8931506D3A6}"/>
    <cellStyle name="Accent3" xfId="151" builtinId="37" customBuiltin="1"/>
    <cellStyle name="Accent3 2" xfId="152" xr:uid="{AF1D75CA-AE68-3A4E-B492-86E98A47E8A9}"/>
    <cellStyle name="Accent3 3" xfId="153" xr:uid="{16BC7F17-032B-5F4D-B44C-61B2E77C8306}"/>
    <cellStyle name="Accent4" xfId="154" builtinId="41" customBuiltin="1"/>
    <cellStyle name="Accent4 2" xfId="155" xr:uid="{F94BE866-33E8-C64F-BCDA-529DA6762E2B}"/>
    <cellStyle name="Accent4 3" xfId="156" xr:uid="{46B7A977-43BA-6D42-8A94-68215617CB14}"/>
    <cellStyle name="Accent5" xfId="157" builtinId="45" customBuiltin="1"/>
    <cellStyle name="Accent5 2" xfId="158" xr:uid="{3D3F9C10-3451-4340-A2B8-A9B0F232BEC4}"/>
    <cellStyle name="Accent5 3" xfId="159" xr:uid="{48FA877F-90AE-3A46-A7EA-4C86520891B9}"/>
    <cellStyle name="Accent6" xfId="160" builtinId="49" customBuiltin="1"/>
    <cellStyle name="Accent6 2" xfId="161" xr:uid="{39D806E7-98DF-A641-B651-67B4EDA806CA}"/>
    <cellStyle name="Accent6 3" xfId="162" xr:uid="{02048069-0B1F-D040-B9D6-B26C61C052DE}"/>
    <cellStyle name="Bad" xfId="163" builtinId="27" customBuiltin="1"/>
    <cellStyle name="Bad 2" xfId="164" xr:uid="{BBA9EC74-6AFF-CF4A-AE16-74608E9344F5}"/>
    <cellStyle name="Bad 3" xfId="165" xr:uid="{9F3181CC-8AFA-154A-BBE5-5B3D5D2258B0}"/>
    <cellStyle name="Calculation" xfId="166" builtinId="22" customBuiltin="1"/>
    <cellStyle name="Calculation 2" xfId="167" xr:uid="{81D9D2BE-794E-D941-A547-4771B7B3FB78}"/>
    <cellStyle name="Calculation 3" xfId="168" xr:uid="{EE08D43D-1B8F-324F-A562-42C4DA8D3008}"/>
    <cellStyle name="Check Cell" xfId="169" builtinId="23" customBuiltin="1"/>
    <cellStyle name="Check Cell 2" xfId="170" xr:uid="{9885B60B-79FB-3A4F-9EED-EC70A17C83FD}"/>
    <cellStyle name="Check Cell 3" xfId="171" xr:uid="{EB4A4711-8F5F-5745-BCD8-F974A534B14C}"/>
    <cellStyle name="Comma" xfId="172" builtinId="3"/>
    <cellStyle name="Comma 2" xfId="173" xr:uid="{E64A2EF5-B48F-FF44-96D6-287F94B47BD1}"/>
    <cellStyle name="Comma 2 2" xfId="174" xr:uid="{DABE4463-8A76-0246-9211-E832483EFA2F}"/>
    <cellStyle name="Comma 3" xfId="175" xr:uid="{F8691B43-EC4C-AC42-BF24-64C47C255309}"/>
    <cellStyle name="Explanatory Text" xfId="176" builtinId="53" customBuiltin="1"/>
    <cellStyle name="Explanatory Text 2" xfId="177" xr:uid="{8C59DAEB-C78C-B04D-9878-D257AFFF6EF0}"/>
    <cellStyle name="Good" xfId="178" builtinId="26" customBuiltin="1"/>
    <cellStyle name="Good 2" xfId="179" xr:uid="{45DA1D97-B5C7-F244-8ADB-8980161EE9CE}"/>
    <cellStyle name="Good 3" xfId="180" xr:uid="{B56AE469-44AA-4D4B-B66F-08F2E4952532}"/>
    <cellStyle name="Heading 1" xfId="181" builtinId="16" customBuiltin="1"/>
    <cellStyle name="Heading 1 2" xfId="182" xr:uid="{CDB8FFF6-5B36-664F-B0A3-CEDE1B393F5C}"/>
    <cellStyle name="Heading 2" xfId="183" builtinId="17" customBuiltin="1"/>
    <cellStyle name="Heading 2 2" xfId="184" xr:uid="{B485FBFF-E73E-7942-81D3-A27FBE5BB2D4}"/>
    <cellStyle name="Heading 2 2 2" xfId="185" xr:uid="{65C2DCA3-347A-CE43-89C9-39209FED70A5}"/>
    <cellStyle name="Heading 2 2 2 2" xfId="186" xr:uid="{5651AC75-9A18-F24A-8785-BB2C2DC1D9ED}"/>
    <cellStyle name="Heading 2 2 2 2 2" xfId="187" xr:uid="{F846BE73-9F8A-C949-B33F-B8710639C9F0}"/>
    <cellStyle name="Heading 2 2 2 2 2 2" xfId="188" xr:uid="{701AFE0C-D0EF-0347-8F0A-36FFC3737DA9}"/>
    <cellStyle name="Heading 2 2 2 2 2 2 2" xfId="189" xr:uid="{9B08E403-E9B5-6845-9A9E-50227C379683}"/>
    <cellStyle name="Heading 2 2 2 2 2 2 2 2" xfId="190" xr:uid="{3AD83256-8FF0-E848-B078-AE3DED6B0955}"/>
    <cellStyle name="Heading 2 3" xfId="191" xr:uid="{427500AF-779A-6049-B3D5-714C1BD7E652}"/>
    <cellStyle name="Heading 2 3 2" xfId="192" xr:uid="{7478CCA7-B9AE-9342-8F8B-9E26BB0E9113}"/>
    <cellStyle name="Heading 2 3 2 2" xfId="193" xr:uid="{73B30B2B-5D0E-A042-A1B7-345664F597A8}"/>
    <cellStyle name="Heading 2 3 2 2 2" xfId="194" xr:uid="{FA6CBCDB-FD1E-7741-A727-74D2D1E6559B}"/>
    <cellStyle name="Heading 3" xfId="195" builtinId="18" customBuiltin="1"/>
    <cellStyle name="Heading 3 2" xfId="196" xr:uid="{9A983963-13D6-994C-AF2D-F18B44F1E43C}"/>
    <cellStyle name="Heading 4" xfId="197" builtinId="19" customBuiltin="1"/>
    <cellStyle name="Heading 4 2" xfId="198" xr:uid="{F6233261-18FB-E34F-8A17-6F7BDC293487}"/>
    <cellStyle name="Hyperlink" xfId="199" builtinId="8"/>
    <cellStyle name="Hyperlink 2" xfId="200" xr:uid="{7D265F57-B1CF-CE4A-B98D-17F558D88621}"/>
    <cellStyle name="Input" xfId="201" builtinId="20" customBuiltin="1"/>
    <cellStyle name="Input 2" xfId="202" xr:uid="{58B38A83-9BFA-1947-9BA4-1B1AE4A31B27}"/>
    <cellStyle name="Input 3" xfId="203" xr:uid="{2EC68278-869A-964F-B4B0-033CB70A0196}"/>
    <cellStyle name="Linked Cell" xfId="204" builtinId="24" customBuiltin="1"/>
    <cellStyle name="Linked Cell 2" xfId="205" xr:uid="{F061E0EE-4816-C74A-891B-A9D39CC3FA3E}"/>
    <cellStyle name="Neutral" xfId="206" builtinId="28" customBuiltin="1"/>
    <cellStyle name="Neutral 2" xfId="207" xr:uid="{5F194C07-2736-564E-83A4-ADBA48E18155}"/>
    <cellStyle name="Neutral 3" xfId="208" xr:uid="{3FA01285-D65F-A342-97C4-48231C3F55B7}"/>
    <cellStyle name="Normal" xfId="0" builtinId="0"/>
    <cellStyle name="Normal 2" xfId="209" xr:uid="{F4B1E180-1EB3-FE46-8037-7325DA572D47}"/>
    <cellStyle name="Note" xfId="210" builtinId="10" customBuiltin="1"/>
    <cellStyle name="Note 2" xfId="211" xr:uid="{00B12E5E-E6B9-7749-8F08-64753EEAF6DD}"/>
    <cellStyle name="Note 3" xfId="212" xr:uid="{2179761F-4619-1E47-ACDD-90379C7201A0}"/>
    <cellStyle name="Output" xfId="213" builtinId="21" customBuiltin="1"/>
    <cellStyle name="Output 2" xfId="214" xr:uid="{E00E2806-5A08-C94E-B109-CC6FF90120E8}"/>
    <cellStyle name="Output 3" xfId="215" xr:uid="{D5A481B7-5AFD-964B-844D-39AD03D150C2}"/>
    <cellStyle name="Per cent" xfId="216" builtinId="5"/>
    <cellStyle name="Percent 2" xfId="217" xr:uid="{29729851-0366-FD47-AED7-801393F66F7B}"/>
    <cellStyle name="Percent 3" xfId="218" xr:uid="{F2558095-F151-7F4D-A184-5C604A2385B5}"/>
    <cellStyle name="Title" xfId="219" builtinId="15" customBuiltin="1"/>
    <cellStyle name="Title 2" xfId="220" xr:uid="{814F3315-2892-C14B-AA5B-7016C60DBD94}"/>
    <cellStyle name="Total" xfId="221" builtinId="25" customBuiltin="1"/>
    <cellStyle name="Total 2" xfId="222" xr:uid="{7970B189-F6FA-DF43-AB87-87648D6FA433}"/>
    <cellStyle name="Warning Text" xfId="223" builtinId="11" customBuiltin="1"/>
    <cellStyle name="Warning Text 2" xfId="224" xr:uid="{52CD9141-7B25-C646-B0A9-FF4F61287961}"/>
    <cellStyle name="Warning Text 3" xfId="225" xr:uid="{0607A30A-DDFF-5C49-A04A-FB62A213C29A}"/>
  </cellStyles>
  <dxfs count="51"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rgb="FFFFEE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styles" Target="styles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externalLink" Target="externalLinks/externalLink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calcChain" Target="calcChain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254000</xdr:colOff>
          <xdr:row>6</xdr:row>
          <xdr:rowOff>177800</xdr:rowOff>
        </xdr:from>
        <xdr:to>
          <xdr:col>1</xdr:col>
          <xdr:colOff>2209800</xdr:colOff>
          <xdr:row>6</xdr:row>
          <xdr:rowOff>723900</xdr:rowOff>
        </xdr:to>
        <xdr:sp macro="" textlink="">
          <xdr:nvSpPr>
            <xdr:cNvPr id="1025" name="Comment 1">
              <a:extLst>
                <a:ext uri="{FF2B5EF4-FFF2-40B4-BE49-F238E27FC236}">
                  <a16:creationId xmlns:a16="http://schemas.microsoft.com/office/drawing/2014/main" id="{9F205612-AD31-E144-8403-D58BD6B148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54000" y="1549400"/>
              <a:ext cx="24257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127000</xdr:colOff>
          <xdr:row>7</xdr:row>
          <xdr:rowOff>228600</xdr:rowOff>
        </xdr:from>
        <xdr:to>
          <xdr:col>1</xdr:col>
          <xdr:colOff>2209800</xdr:colOff>
          <xdr:row>8</xdr:row>
          <xdr:rowOff>228600</xdr:rowOff>
        </xdr:to>
        <xdr:sp macro="" textlink="">
          <xdr:nvSpPr>
            <xdr:cNvPr id="1026" name="Comment 2">
              <a:extLst>
                <a:ext uri="{FF2B5EF4-FFF2-40B4-BE49-F238E27FC236}">
                  <a16:creationId xmlns:a16="http://schemas.microsoft.com/office/drawing/2014/main" id="{1BE0801C-7211-AF22-2987-4A6C1FDAD1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900" y="2387600"/>
              <a:ext cx="2082800" cy="7874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Da-1 für "Dächer / Decken gegen aussen" De-1 für "Übrige Decken"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279400</xdr:colOff>
          <xdr:row>6</xdr:row>
          <xdr:rowOff>190500</xdr:rowOff>
        </xdr:from>
        <xdr:to>
          <xdr:col>1</xdr:col>
          <xdr:colOff>2197100</xdr:colOff>
          <xdr:row>6</xdr:row>
          <xdr:rowOff>723900</xdr:rowOff>
        </xdr:to>
        <xdr:sp macro="" textlink="">
          <xdr:nvSpPr>
            <xdr:cNvPr id="2049" name="Comment 1">
              <a:extLst>
                <a:ext uri="{FF2B5EF4-FFF2-40B4-BE49-F238E27FC236}">
                  <a16:creationId xmlns:a16="http://schemas.microsoft.com/office/drawing/2014/main" id="{2B421E18-004C-8D73-CC81-614B3197CEE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9400" y="1562100"/>
              <a:ext cx="23876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241300</xdr:colOff>
          <xdr:row>7</xdr:row>
          <xdr:rowOff>266700</xdr:rowOff>
        </xdr:from>
        <xdr:to>
          <xdr:col>1</xdr:col>
          <xdr:colOff>2108200</xdr:colOff>
          <xdr:row>8</xdr:row>
          <xdr:rowOff>254000</xdr:rowOff>
        </xdr:to>
        <xdr:sp macro="" textlink="">
          <xdr:nvSpPr>
            <xdr:cNvPr id="2050" name="Comment 2">
              <a:extLst>
                <a:ext uri="{FF2B5EF4-FFF2-40B4-BE49-F238E27FC236}">
                  <a16:creationId xmlns:a16="http://schemas.microsoft.com/office/drawing/2014/main" id="{FC00FE33-A177-D502-74F5-AC8F03F319D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1200" y="2425700"/>
              <a:ext cx="18669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W-1 für "Wände gegen aussen" Wx-1 für "Übrige Wände"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266700</xdr:colOff>
          <xdr:row>4</xdr:row>
          <xdr:rowOff>177800</xdr:rowOff>
        </xdr:from>
        <xdr:to>
          <xdr:col>1</xdr:col>
          <xdr:colOff>2171700</xdr:colOff>
          <xdr:row>4</xdr:row>
          <xdr:rowOff>723900</xdr:rowOff>
        </xdr:to>
        <xdr:sp macro="" textlink="">
          <xdr:nvSpPr>
            <xdr:cNvPr id="3073" name="Comment 1">
              <a:extLst>
                <a:ext uri="{FF2B5EF4-FFF2-40B4-BE49-F238E27FC236}">
                  <a16:creationId xmlns:a16="http://schemas.microsoft.com/office/drawing/2014/main" id="{804A46FD-9309-1B91-871E-D75C977D10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6700" y="1168400"/>
              <a:ext cx="23749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</xdr:colOff>
          <xdr:row>7</xdr:row>
          <xdr:rowOff>38100</xdr:rowOff>
        </xdr:from>
        <xdr:to>
          <xdr:col>4</xdr:col>
          <xdr:colOff>635000</xdr:colOff>
          <xdr:row>7</xdr:row>
          <xdr:rowOff>685800</xdr:rowOff>
        </xdr:to>
        <xdr:sp macro="" textlink="">
          <xdr:nvSpPr>
            <xdr:cNvPr id="3074" name="Comment 3">
              <a:extLst>
                <a:ext uri="{FF2B5EF4-FFF2-40B4-BE49-F238E27FC236}">
                  <a16:creationId xmlns:a16="http://schemas.microsoft.com/office/drawing/2014/main" id="{4A0F461C-E61C-622E-BB15-7A8D1790F1F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30500" y="2794000"/>
              <a:ext cx="28829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Um ohne Fensterabzug zu arbeiten, darf kein Fenster eingebaut sein.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88900</xdr:colOff>
          <xdr:row>7</xdr:row>
          <xdr:rowOff>38100</xdr:rowOff>
        </xdr:from>
        <xdr:to>
          <xdr:col>1</xdr:col>
          <xdr:colOff>2159000</xdr:colOff>
          <xdr:row>7</xdr:row>
          <xdr:rowOff>685800</xdr:rowOff>
        </xdr:to>
        <xdr:sp macro="" textlink="">
          <xdr:nvSpPr>
            <xdr:cNvPr id="3075" name="Comment 4">
              <a:extLst>
                <a:ext uri="{FF2B5EF4-FFF2-40B4-BE49-F238E27FC236}">
                  <a16:creationId xmlns:a16="http://schemas.microsoft.com/office/drawing/2014/main" id="{FB2E0DD4-FB7A-534C-8F71-128EB762AC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8800" y="2794000"/>
              <a:ext cx="2070100" cy="647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Fe-1 für "Fenster" T-1 für "Türen"</a:t>
              </a:r>
            </a:p>
          </xdr:txBody>
        </xdr:sp>
        <xdr:clientData/>
      </xdr:twoCellAnchor>
    </mc:Fallback>
  </mc:AlternateContent>
</xdr:wsDr>
</file>

<file path=xl/drawings/drawing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6</xdr:row>
          <xdr:rowOff>190500</xdr:rowOff>
        </xdr:from>
        <xdr:to>
          <xdr:col>1</xdr:col>
          <xdr:colOff>2159000</xdr:colOff>
          <xdr:row>6</xdr:row>
          <xdr:rowOff>723900</xdr:rowOff>
        </xdr:to>
        <xdr:sp macro="" textlink="">
          <xdr:nvSpPr>
            <xdr:cNvPr id="4097" name="Comment 1">
              <a:extLst>
                <a:ext uri="{FF2B5EF4-FFF2-40B4-BE49-F238E27FC236}">
                  <a16:creationId xmlns:a16="http://schemas.microsoft.com/office/drawing/2014/main" id="{22ACB44C-407B-44B1-2560-87746EE155F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562100"/>
              <a:ext cx="23368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266700</xdr:colOff>
          <xdr:row>7</xdr:row>
          <xdr:rowOff>266700</xdr:rowOff>
        </xdr:from>
        <xdr:to>
          <xdr:col>1</xdr:col>
          <xdr:colOff>2146300</xdr:colOff>
          <xdr:row>8</xdr:row>
          <xdr:rowOff>254000</xdr:rowOff>
        </xdr:to>
        <xdr:sp macro="" textlink="">
          <xdr:nvSpPr>
            <xdr:cNvPr id="4098" name="Comment 3">
              <a:extLst>
                <a:ext uri="{FF2B5EF4-FFF2-40B4-BE49-F238E27FC236}">
                  <a16:creationId xmlns:a16="http://schemas.microsoft.com/office/drawing/2014/main" id="{2FA677BF-C1E5-92BA-CC66-3DAC19AF4C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425700"/>
              <a:ext cx="18796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Bo-1 für "Böden gegen aussen" Bx-1 für "Sonstige Böden"</a:t>
              </a:r>
            </a:p>
          </xdr:txBody>
        </xdr:sp>
        <xdr:clientData/>
      </xdr:twoCellAnchor>
    </mc:Fallback>
  </mc:AlternateContent>
</xdr:wsDr>
</file>

<file path=xl/drawings/drawing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5121" name="Comment 1">
              <a:extLst>
                <a:ext uri="{FF2B5EF4-FFF2-40B4-BE49-F238E27FC236}">
                  <a16:creationId xmlns:a16="http://schemas.microsoft.com/office/drawing/2014/main" id="{962533BC-221A-A469-993F-BA088A1C3F6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4</xdr:row>
          <xdr:rowOff>254000</xdr:rowOff>
        </xdr:from>
        <xdr:to>
          <xdr:col>1</xdr:col>
          <xdr:colOff>2171700</xdr:colOff>
          <xdr:row>5</xdr:row>
          <xdr:rowOff>241300</xdr:rowOff>
        </xdr:to>
        <xdr:sp macro="" textlink="">
          <xdr:nvSpPr>
            <xdr:cNvPr id="5122" name="Comment 4">
              <a:extLst>
                <a:ext uri="{FF2B5EF4-FFF2-40B4-BE49-F238E27FC236}">
                  <a16:creationId xmlns:a16="http://schemas.microsoft.com/office/drawing/2014/main" id="{48907B01-6A8F-CABE-54F2-B62C6F58BCA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1612900"/>
              <a:ext cx="19685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WL-1 für "Wärmebrücken linear " WR-1 für "Wärmebrücken punktförmig"</a:t>
              </a:r>
            </a:p>
          </xdr:txBody>
        </xdr:sp>
        <xdr:clientData/>
      </xdr:twoCellAnchor>
    </mc:Fallback>
  </mc:AlternateContent>
</xdr:wsDr>
</file>

<file path=xl/drawings/drawing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482600</xdr:colOff>
          <xdr:row>1</xdr:row>
          <xdr:rowOff>50800</xdr:rowOff>
        </xdr:from>
        <xdr:to>
          <xdr:col>4</xdr:col>
          <xdr:colOff>825500</xdr:colOff>
          <xdr:row>1</xdr:row>
          <xdr:rowOff>546100</xdr:rowOff>
        </xdr:to>
        <xdr:sp macro="" textlink="">
          <xdr:nvSpPr>
            <xdr:cNvPr id="6145" name="Comment 1">
              <a:extLst>
                <a:ext uri="{FF2B5EF4-FFF2-40B4-BE49-F238E27FC236}">
                  <a16:creationId xmlns:a16="http://schemas.microsoft.com/office/drawing/2014/main" id="{3CD58B2A-2BAC-CF44-EB2A-E88BA92B76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41400" y="241300"/>
              <a:ext cx="3886200" cy="495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WE-1, WE-2, WE-3, WE-4, WE-5-1 für "Wärmeerzeuger"</a:t>
              </a:r>
            </a:p>
          </xdr:txBody>
        </xdr:sp>
        <xdr:clientData/>
      </xdr:twoCellAnchor>
    </mc:Fallback>
  </mc:AlternateContent>
</xdr:wsDr>
</file>

<file path=xl/drawings/drawing7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317500</xdr:colOff>
          <xdr:row>5</xdr:row>
          <xdr:rowOff>139700</xdr:rowOff>
        </xdr:from>
        <xdr:to>
          <xdr:col>1</xdr:col>
          <xdr:colOff>2032000</xdr:colOff>
          <xdr:row>6</xdr:row>
          <xdr:rowOff>0</xdr:rowOff>
        </xdr:to>
        <xdr:sp macro="" textlink="">
          <xdr:nvSpPr>
            <xdr:cNvPr id="7169" name="Comment 1">
              <a:extLst>
                <a:ext uri="{FF2B5EF4-FFF2-40B4-BE49-F238E27FC236}">
                  <a16:creationId xmlns:a16="http://schemas.microsoft.com/office/drawing/2014/main" id="{5073A1F5-5F9C-2009-97E3-7E3B5EA00FC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7500" y="1092200"/>
              <a:ext cx="22860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165100</xdr:colOff>
          <xdr:row>7</xdr:row>
          <xdr:rowOff>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7170" name="Comment 4">
              <a:extLst>
                <a:ext uri="{FF2B5EF4-FFF2-40B4-BE49-F238E27FC236}">
                  <a16:creationId xmlns:a16="http://schemas.microsoft.com/office/drawing/2014/main" id="{CEC02279-7AB1-F1C1-F43D-4D6B09AF7D4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5273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HE-1 für "Versorgter Bereich Heizung"</a:t>
              </a:r>
            </a:p>
          </xdr:txBody>
        </xdr:sp>
        <xdr:clientData/>
      </xdr:twoCellAnchor>
    </mc:Fallback>
  </mc:AlternateContent>
</xdr:wsDr>
</file>

<file path=xl/drawings/drawing8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5</xdr:row>
          <xdr:rowOff>152400</xdr:rowOff>
        </xdr:from>
        <xdr:to>
          <xdr:col>1</xdr:col>
          <xdr:colOff>2082800</xdr:colOff>
          <xdr:row>6</xdr:row>
          <xdr:rowOff>0</xdr:rowOff>
        </xdr:to>
        <xdr:sp macro="" textlink="">
          <xdr:nvSpPr>
            <xdr:cNvPr id="8193" name="Comment 1">
              <a:extLst>
                <a:ext uri="{FF2B5EF4-FFF2-40B4-BE49-F238E27FC236}">
                  <a16:creationId xmlns:a16="http://schemas.microsoft.com/office/drawing/2014/main" id="{E869D068-CE07-B9DC-C475-054F4D51D4F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104900"/>
              <a:ext cx="2362200" cy="635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6</xdr:row>
          <xdr:rowOff>647700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8194" name="Comment 2">
              <a:extLst>
                <a:ext uri="{FF2B5EF4-FFF2-40B4-BE49-F238E27FC236}">
                  <a16:creationId xmlns:a16="http://schemas.microsoft.com/office/drawing/2014/main" id="{077E1976-2422-7571-6BB4-DCE76E31E7A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9300" y="2387600"/>
              <a:ext cx="1854200" cy="482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WW-1 für "Versorgter Bereich Warmwasser"</a:t>
              </a:r>
            </a:p>
          </xdr:txBody>
        </xdr:sp>
        <xdr:clientData/>
      </xdr:twoCellAnchor>
    </mc:Fallback>
  </mc:AlternateContent>
</xdr:wsDr>
</file>

<file path=xl/drawings/drawing9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381000</xdr:colOff>
          <xdr:row>4</xdr:row>
          <xdr:rowOff>203200</xdr:rowOff>
        </xdr:from>
        <xdr:to>
          <xdr:col>1</xdr:col>
          <xdr:colOff>2209800</xdr:colOff>
          <xdr:row>5</xdr:row>
          <xdr:rowOff>0</xdr:rowOff>
        </xdr:to>
        <xdr:sp macro="" textlink="">
          <xdr:nvSpPr>
            <xdr:cNvPr id="9217" name="Comment 1">
              <a:extLst>
                <a:ext uri="{FF2B5EF4-FFF2-40B4-BE49-F238E27FC236}">
                  <a16:creationId xmlns:a16="http://schemas.microsoft.com/office/drawing/2014/main" id="{66835154-7662-A980-30AF-27BF02A1E8C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000" y="965200"/>
              <a:ext cx="24765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139700</xdr:colOff>
          <xdr:row>6</xdr:row>
          <xdr:rowOff>0</xdr:rowOff>
        </xdr:from>
        <xdr:to>
          <xdr:col>1</xdr:col>
          <xdr:colOff>2006600</xdr:colOff>
          <xdr:row>8</xdr:row>
          <xdr:rowOff>0</xdr:rowOff>
        </xdr:to>
        <xdr:sp macro="" textlink="">
          <xdr:nvSpPr>
            <xdr:cNvPr id="9218" name="Comment 3">
              <a:extLst>
                <a:ext uri="{FF2B5EF4-FFF2-40B4-BE49-F238E27FC236}">
                  <a16:creationId xmlns:a16="http://schemas.microsoft.com/office/drawing/2014/main" id="{9742195F-A236-6FB6-D60B-9EF510F52C3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7400" y="23368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GE-1 für "Geräte und Installationen"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50800</xdr:colOff>
          <xdr:row>4</xdr:row>
          <xdr:rowOff>88900</xdr:rowOff>
        </xdr:from>
        <xdr:to>
          <xdr:col>9</xdr:col>
          <xdr:colOff>660400</xdr:colOff>
          <xdr:row>6</xdr:row>
          <xdr:rowOff>0</xdr:rowOff>
        </xdr:to>
        <xdr:sp macro="" textlink="">
          <xdr:nvSpPr>
            <xdr:cNvPr id="9219" name="Comment 2">
              <a:extLst>
                <a:ext uri="{FF2B5EF4-FFF2-40B4-BE49-F238E27FC236}">
                  <a16:creationId xmlns:a16="http://schemas.microsoft.com/office/drawing/2014/main" id="{BAEBC899-9153-1FF9-8A46-E4D14B16CF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468100" y="850900"/>
              <a:ext cx="1346200" cy="14859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0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</xdr:colOff>
          <xdr:row>1</xdr:row>
          <xdr:rowOff>50800</xdr:rowOff>
        </xdr:from>
        <xdr:to>
          <xdr:col>3</xdr:col>
          <xdr:colOff>292100</xdr:colOff>
          <xdr:row>2</xdr:row>
          <xdr:rowOff>101600</xdr:rowOff>
        </xdr:to>
        <xdr:sp macro="" textlink="">
          <xdr:nvSpPr>
            <xdr:cNvPr id="10241" name="Comment 3">
              <a:extLst>
                <a:ext uri="{FF2B5EF4-FFF2-40B4-BE49-F238E27FC236}">
                  <a16:creationId xmlns:a16="http://schemas.microsoft.com/office/drawing/2014/main" id="{26C2F0D9-906D-3318-EE93-C8AF86C3DF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241300"/>
              <a:ext cx="4432300" cy="241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50800</xdr:colOff>
          <xdr:row>2</xdr:row>
          <xdr:rowOff>152400</xdr:rowOff>
        </xdr:from>
        <xdr:to>
          <xdr:col>3</xdr:col>
          <xdr:colOff>292100</xdr:colOff>
          <xdr:row>2</xdr:row>
          <xdr:rowOff>406400</xdr:rowOff>
        </xdr:to>
        <xdr:sp macro="" textlink="">
          <xdr:nvSpPr>
            <xdr:cNvPr id="10242" name="Comment 6">
              <a:extLst>
                <a:ext uri="{FF2B5EF4-FFF2-40B4-BE49-F238E27FC236}">
                  <a16:creationId xmlns:a16="http://schemas.microsoft.com/office/drawing/2014/main" id="{83E8E5A4-F163-CFE9-2F4F-FDEBC3354C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8500" y="533400"/>
              <a:ext cx="4457700" cy="254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KE-1 für "Kleingeräte und Elektronik"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114300</xdr:rowOff>
        </xdr:from>
        <xdr:to>
          <xdr:col>6</xdr:col>
          <xdr:colOff>12700</xdr:colOff>
          <xdr:row>2</xdr:row>
          <xdr:rowOff>419100</xdr:rowOff>
        </xdr:to>
        <xdr:sp macro="" textlink="">
          <xdr:nvSpPr>
            <xdr:cNvPr id="10243" name="Comment 4">
              <a:extLst>
                <a:ext uri="{FF2B5EF4-FFF2-40B4-BE49-F238E27FC236}">
                  <a16:creationId xmlns:a16="http://schemas.microsoft.com/office/drawing/2014/main" id="{CA243871-F56E-3DB5-FD34-062721F235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304800"/>
              <a:ext cx="1866900" cy="4953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876300</xdr:colOff>
          <xdr:row>1</xdr:row>
          <xdr:rowOff>76200</xdr:rowOff>
        </xdr:from>
        <xdr:to>
          <xdr:col>12</xdr:col>
          <xdr:colOff>393700</xdr:colOff>
          <xdr:row>3</xdr:row>
          <xdr:rowOff>228600</xdr:rowOff>
        </xdr:to>
        <xdr:sp macro="" textlink="">
          <xdr:nvSpPr>
            <xdr:cNvPr id="10244" name="Comment 2">
              <a:extLst>
                <a:ext uri="{FF2B5EF4-FFF2-40B4-BE49-F238E27FC236}">
                  <a16:creationId xmlns:a16="http://schemas.microsoft.com/office/drawing/2014/main" id="{E47FAC3E-C9B7-057E-110E-A00C14DCB50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030200" y="266700"/>
              <a:ext cx="18796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114300</xdr:rowOff>
        </xdr:from>
        <xdr:to>
          <xdr:col>2</xdr:col>
          <xdr:colOff>482600</xdr:colOff>
          <xdr:row>2</xdr:row>
          <xdr:rowOff>304800</xdr:rowOff>
        </xdr:to>
        <xdr:sp macro="" textlink="">
          <xdr:nvSpPr>
            <xdr:cNvPr id="11265" name="Comment 6">
              <a:extLst>
                <a:ext uri="{FF2B5EF4-FFF2-40B4-BE49-F238E27FC236}">
                  <a16:creationId xmlns:a16="http://schemas.microsoft.com/office/drawing/2014/main" id="{9F561A1F-A285-A6F8-8CAA-5B40578048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04800"/>
              <a:ext cx="24130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BL-1 für "Beleuchtung"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88900</xdr:rowOff>
        </xdr:from>
        <xdr:to>
          <xdr:col>7</xdr:col>
          <xdr:colOff>711200</xdr:colOff>
          <xdr:row>2</xdr:row>
          <xdr:rowOff>381000</xdr:rowOff>
        </xdr:to>
        <xdr:sp macro="" textlink="">
          <xdr:nvSpPr>
            <xdr:cNvPr id="11266" name="Comment 3">
              <a:extLst>
                <a:ext uri="{FF2B5EF4-FFF2-40B4-BE49-F238E27FC236}">
                  <a16:creationId xmlns:a16="http://schemas.microsoft.com/office/drawing/2014/main" id="{B11DA232-DA58-1293-459B-5D369F8521C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279400"/>
              <a:ext cx="3695700" cy="4826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622300</xdr:colOff>
          <xdr:row>1</xdr:row>
          <xdr:rowOff>25400</xdr:rowOff>
        </xdr:from>
        <xdr:to>
          <xdr:col>12</xdr:col>
          <xdr:colOff>114300</xdr:colOff>
          <xdr:row>3</xdr:row>
          <xdr:rowOff>228600</xdr:rowOff>
        </xdr:to>
        <xdr:sp macro="" textlink="">
          <xdr:nvSpPr>
            <xdr:cNvPr id="11267" name="Comment 4">
              <a:extLst>
                <a:ext uri="{FF2B5EF4-FFF2-40B4-BE49-F238E27FC236}">
                  <a16:creationId xmlns:a16="http://schemas.microsoft.com/office/drawing/2014/main" id="{2410A9C5-0923-E558-A83D-94B36E6DA93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169900" y="215900"/>
              <a:ext cx="14097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</xdr:wsDr>
</file>

<file path=xl/drawings/drawing1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419100</xdr:colOff>
          <xdr:row>4</xdr:row>
          <xdr:rowOff>215900</xdr:rowOff>
        </xdr:from>
        <xdr:to>
          <xdr:col>1</xdr:col>
          <xdr:colOff>1993900</xdr:colOff>
          <xdr:row>4</xdr:row>
          <xdr:rowOff>723900</xdr:rowOff>
        </xdr:to>
        <xdr:sp macro="" textlink="">
          <xdr:nvSpPr>
            <xdr:cNvPr id="12289" name="Comment 1027">
              <a:extLst>
                <a:ext uri="{FF2B5EF4-FFF2-40B4-BE49-F238E27FC236}">
                  <a16:creationId xmlns:a16="http://schemas.microsoft.com/office/drawing/2014/main" id="{10B1D1ED-1086-5474-398C-6258A5477D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9100" y="977900"/>
              <a:ext cx="2222500" cy="508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für SIA Kat. III und IV (Schulen und Verwaltung).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393700</xdr:colOff>
          <xdr:row>6</xdr:row>
          <xdr:rowOff>0</xdr:rowOff>
        </xdr:from>
        <xdr:to>
          <xdr:col>1</xdr:col>
          <xdr:colOff>1866900</xdr:colOff>
          <xdr:row>9</xdr:row>
          <xdr:rowOff>12700</xdr:rowOff>
        </xdr:to>
        <xdr:sp macro="" textlink="">
          <xdr:nvSpPr>
            <xdr:cNvPr id="12290" name="Comment 1029">
              <a:extLst>
                <a:ext uri="{FF2B5EF4-FFF2-40B4-BE49-F238E27FC236}">
                  <a16:creationId xmlns:a16="http://schemas.microsoft.com/office/drawing/2014/main" id="{0EEF4954-3119-F8B9-6E6A-D6F0BBB0F47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3700" y="2336800"/>
              <a:ext cx="2120900" cy="8255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BG-1 für "Betriebseinrichtungen und Geräte"</a:t>
              </a:r>
            </a:p>
          </xdr:txBody>
        </xdr:sp>
        <xdr:clientData/>
      </xdr:twoCellAnchor>
    </mc:Fallback>
  </mc:AlternateContent>
</xdr:wsDr>
</file>

<file path=xl/drawings/drawing1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127000</xdr:colOff>
          <xdr:row>3</xdr:row>
          <xdr:rowOff>114300</xdr:rowOff>
        </xdr:from>
        <xdr:to>
          <xdr:col>3</xdr:col>
          <xdr:colOff>1879600</xdr:colOff>
          <xdr:row>4</xdr:row>
          <xdr:rowOff>469900</xdr:rowOff>
        </xdr:to>
        <xdr:sp macro="" textlink="">
          <xdr:nvSpPr>
            <xdr:cNvPr id="13313" name="Comment 4">
              <a:extLst>
                <a:ext uri="{FF2B5EF4-FFF2-40B4-BE49-F238E27FC236}">
                  <a16:creationId xmlns:a16="http://schemas.microsoft.com/office/drawing/2014/main" id="{94838C23-C2FF-E200-8E9D-A3040AD1F0A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215900</xdr:colOff>
          <xdr:row>5</xdr:row>
          <xdr:rowOff>533400</xdr:rowOff>
        </xdr:from>
        <xdr:to>
          <xdr:col>3</xdr:col>
          <xdr:colOff>1054100</xdr:colOff>
          <xdr:row>6</xdr:row>
          <xdr:rowOff>101600</xdr:rowOff>
        </xdr:to>
        <xdr:sp macro="" textlink="">
          <xdr:nvSpPr>
            <xdr:cNvPr id="13314" name="Comment 3">
              <a:extLst>
                <a:ext uri="{FF2B5EF4-FFF2-40B4-BE49-F238E27FC236}">
                  <a16:creationId xmlns:a16="http://schemas.microsoft.com/office/drawing/2014/main" id="{DE23BA8D-B0DB-99E4-E99B-43322D4991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50900" y="2590800"/>
              <a:ext cx="21082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139700</xdr:colOff>
          <xdr:row>5</xdr:row>
          <xdr:rowOff>317500</xdr:rowOff>
        </xdr:from>
        <xdr:to>
          <xdr:col>11</xdr:col>
          <xdr:colOff>0</xdr:colOff>
          <xdr:row>6</xdr:row>
          <xdr:rowOff>114300</xdr:rowOff>
        </xdr:to>
        <xdr:sp macro="" textlink="">
          <xdr:nvSpPr>
            <xdr:cNvPr id="13315" name="Comment 2">
              <a:extLst>
                <a:ext uri="{FF2B5EF4-FFF2-40B4-BE49-F238E27FC236}">
                  <a16:creationId xmlns:a16="http://schemas.microsoft.com/office/drawing/2014/main" id="{7B866386-314D-D94C-5FE3-8CB5788D0F0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547600" y="2374900"/>
              <a:ext cx="23622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Berücksichtigungsanteil erhöht bei PVOpti-Nachweis </a:t>
              </a:r>
            </a:p>
          </xdr:txBody>
        </xdr:sp>
        <xdr:clientData/>
      </xdr:twoCellAnchor>
    </mc:Fallback>
  </mc:AlternateContent>
</xdr:wsDr>
</file>

<file path=xl/drawings/drawing1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762000</xdr:colOff>
          <xdr:row>3</xdr:row>
          <xdr:rowOff>114300</xdr:rowOff>
        </xdr:from>
        <xdr:to>
          <xdr:col>2</xdr:col>
          <xdr:colOff>2197100</xdr:colOff>
          <xdr:row>4</xdr:row>
          <xdr:rowOff>469900</xdr:rowOff>
        </xdr:to>
        <xdr:sp macro="" textlink="">
          <xdr:nvSpPr>
            <xdr:cNvPr id="14337" name="Comment 1">
              <a:extLst>
                <a:ext uri="{FF2B5EF4-FFF2-40B4-BE49-F238E27FC236}">
                  <a16:creationId xmlns:a16="http://schemas.microsoft.com/office/drawing/2014/main" id="{10DBCA22-DCA8-E5B2-0BDA-16CFC1A0D02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38100</xdr:colOff>
          <xdr:row>6</xdr:row>
          <xdr:rowOff>101600</xdr:rowOff>
        </xdr:from>
        <xdr:to>
          <xdr:col>4</xdr:col>
          <xdr:colOff>685800</xdr:colOff>
          <xdr:row>8</xdr:row>
          <xdr:rowOff>101600</xdr:rowOff>
        </xdr:to>
        <xdr:sp macro="" textlink="">
          <xdr:nvSpPr>
            <xdr:cNvPr id="14338" name="Comment 2">
              <a:extLst>
                <a:ext uri="{FF2B5EF4-FFF2-40B4-BE49-F238E27FC236}">
                  <a16:creationId xmlns:a16="http://schemas.microsoft.com/office/drawing/2014/main" id="{FFBF5D5B-C8F3-FFA1-7230-EAC3CEAFD8D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73500" y="2946400"/>
              <a:ext cx="30607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999999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EM-1 für "Energiemanagementsystem (EMS)"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0</xdr:colOff>
          <xdr:row>14</xdr:row>
          <xdr:rowOff>139700</xdr:rowOff>
        </xdr:from>
        <xdr:to>
          <xdr:col>4</xdr:col>
          <xdr:colOff>622300</xdr:colOff>
          <xdr:row>16</xdr:row>
          <xdr:rowOff>152400</xdr:rowOff>
        </xdr:to>
        <xdr:sp macro="" textlink="">
          <xdr:nvSpPr>
            <xdr:cNvPr id="14339" name="Comment 4">
              <a:extLst>
                <a:ext uri="{FF2B5EF4-FFF2-40B4-BE49-F238E27FC236}">
                  <a16:creationId xmlns:a16="http://schemas.microsoft.com/office/drawing/2014/main" id="{7747C993-D097-D32F-CC86-0FE8F5A611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35400" y="4749800"/>
              <a:ext cx="30353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</xdr:wsDr>
</file>

<file path=xl/drawings/drawing1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139700</xdr:rowOff>
        </xdr:from>
        <xdr:to>
          <xdr:col>2</xdr:col>
          <xdr:colOff>495300</xdr:colOff>
          <xdr:row>2</xdr:row>
          <xdr:rowOff>152400</xdr:rowOff>
        </xdr:to>
        <xdr:sp macro="" textlink="">
          <xdr:nvSpPr>
            <xdr:cNvPr id="15361" name="Comment 6">
              <a:extLst>
                <a:ext uri="{FF2B5EF4-FFF2-40B4-BE49-F238E27FC236}">
                  <a16:creationId xmlns:a16="http://schemas.microsoft.com/office/drawing/2014/main" id="{4E08FBB4-D80C-D794-1D65-C9C27D5B3B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30200"/>
              <a:ext cx="24257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WV-1 für "Weitere Verbraucher"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571500</xdr:colOff>
          <xdr:row>0</xdr:row>
          <xdr:rowOff>0</xdr:rowOff>
        </xdr:from>
        <xdr:to>
          <xdr:col>10</xdr:col>
          <xdr:colOff>1028700</xdr:colOff>
          <xdr:row>3</xdr:row>
          <xdr:rowOff>304800</xdr:rowOff>
        </xdr:to>
        <xdr:sp macro="" textlink="">
          <xdr:nvSpPr>
            <xdr:cNvPr id="15362" name="Comment 5">
              <a:extLst>
                <a:ext uri="{FF2B5EF4-FFF2-40B4-BE49-F238E27FC236}">
                  <a16:creationId xmlns:a16="http://schemas.microsoft.com/office/drawing/2014/main" id="{668E0215-80A9-3341-6ABE-2F1EFED8963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11000" y="0"/>
              <a:ext cx="1638300" cy="1028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Gebäudezugehörig wählen, um den Verbrauch in der Energie Etikette zu berücksichtigen</a:t>
              </a:r>
            </a:p>
          </xdr:txBody>
        </xdr:sp>
        <xdr:clientData/>
      </xdr:twoCellAnchor>
    </mc:Fallback>
  </mc:AlternateContent>
</xdr:wsDr>
</file>

<file path=xl/drawings/drawing1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16385" name="Comment 1">
              <a:extLst>
                <a:ext uri="{FF2B5EF4-FFF2-40B4-BE49-F238E27FC236}">
                  <a16:creationId xmlns:a16="http://schemas.microsoft.com/office/drawing/2014/main" id="{46B96987-5CAE-6A55-A446-5DDCF09F1A7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177800</xdr:colOff>
          <xdr:row>3</xdr:row>
          <xdr:rowOff>368300</xdr:rowOff>
        </xdr:from>
        <xdr:to>
          <xdr:col>14</xdr:col>
          <xdr:colOff>1333500</xdr:colOff>
          <xdr:row>4</xdr:row>
          <xdr:rowOff>342900</xdr:rowOff>
        </xdr:to>
        <xdr:sp macro="" textlink="">
          <xdr:nvSpPr>
            <xdr:cNvPr id="16386" name="Comment 6">
              <a:extLst>
                <a:ext uri="{FF2B5EF4-FFF2-40B4-BE49-F238E27FC236}">
                  <a16:creationId xmlns:a16="http://schemas.microsoft.com/office/drawing/2014/main" id="{25180FA9-99A7-00AF-BE32-D3A9D38BD1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554200" y="939800"/>
              <a:ext cx="5549900" cy="762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 EFH und MFH bis 2'000 m² oder bei Verwaltung und Schulen bis 1'000 m² kann eine stark vereinfachte Lüftungsberechnung basierend auf Kleinanlagen mit Standardwerten durchgeführt werden. Für alle übrigen Fälle ist eine externe Berechnung durchzuführen.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5</xdr:row>
          <xdr:rowOff>63500</xdr:rowOff>
        </xdr:from>
        <xdr:to>
          <xdr:col>2</xdr:col>
          <xdr:colOff>317500</xdr:colOff>
          <xdr:row>6</xdr:row>
          <xdr:rowOff>127000</xdr:rowOff>
        </xdr:to>
        <xdr:sp macro="" textlink="">
          <xdr:nvSpPr>
            <xdr:cNvPr id="16387" name="Comment 2">
              <a:extLst>
                <a:ext uri="{FF2B5EF4-FFF2-40B4-BE49-F238E27FC236}">
                  <a16:creationId xmlns:a16="http://schemas.microsoft.com/office/drawing/2014/main" id="{765FFD49-C349-C5FD-8F07-836DE856A1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2209800"/>
              <a:ext cx="23622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LU-1 für "Lüftung"</a:t>
              </a:r>
            </a:p>
          </xdr:txBody>
        </xdr:sp>
        <xdr:clientData/>
      </xdr:twoCellAnchor>
    </mc:Fallback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C:/Users/mdg/Downloads/GEAK-Export%20Geak-1397%20Proj%201(12)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triebseinrichtungen &amp; Geräte"/>
      <sheetName val="Beleuchtung"/>
      <sheetName val="Photovoltaik"/>
      <sheetName val="Weitere Verbraucher"/>
      <sheetName val="Verbrauchsdaten Elektrizität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AH4" t="str">
            <v>HE-1</v>
          </cell>
        </row>
        <row r="5">
          <cell r="AH5" t="str">
            <v>HE-2</v>
          </cell>
        </row>
        <row r="6">
          <cell r="AH6" t="str">
            <v>HE-3</v>
          </cell>
        </row>
        <row r="7">
          <cell r="AH7" t="str">
            <v>HE-4</v>
          </cell>
        </row>
        <row r="8">
          <cell r="AH8" t="str">
            <v>HE-5</v>
          </cell>
        </row>
        <row r="9">
          <cell r="AH9" t="str">
            <v>HE-6</v>
          </cell>
        </row>
        <row r="10">
          <cell r="AH10" t="str">
            <v>HE-7</v>
          </cell>
        </row>
        <row r="11">
          <cell r="AH11" t="str">
            <v>HE-8</v>
          </cell>
        </row>
        <row r="12">
          <cell r="AH12" t="str">
            <v>HE-9</v>
          </cell>
        </row>
        <row r="13">
          <cell r="AH13" t="str">
            <v>HE-10</v>
          </cell>
        </row>
      </sheetData>
      <sheetData sheetId="18" refreshError="1"/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mailto:helene.meier@testmail.ch" TargetMode="Externa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4.xml"/><Relationship Id="rId2" Type="http://schemas.openxmlformats.org/officeDocument/2006/relationships/vmlDrawing" Target="../drawings/vmlDrawing4.vml"/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5.xml"/><Relationship Id="rId2" Type="http://schemas.openxmlformats.org/officeDocument/2006/relationships/vmlDrawing" Target="../drawings/vmlDrawing5.vml"/><Relationship Id="rId1" Type="http://purl.oclc.org/ooxml/officeDocument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6.xml"/><Relationship Id="rId2" Type="http://schemas.openxmlformats.org/officeDocument/2006/relationships/vmlDrawing" Target="../drawings/vmlDrawing6.vml"/><Relationship Id="rId1" Type="http://purl.oclc.org/ooxml/officeDocument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purl.oclc.org/ooxml/officeDocument/relationships/comments" Target="../comments7.xml"/><Relationship Id="rId2" Type="http://schemas.openxmlformats.org/officeDocument/2006/relationships/vmlDrawing" Target="../drawings/vmlDrawing7.vml"/><Relationship Id="rId1" Type="http://purl.oclc.org/ooxml/officeDocument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purl.oclc.org/ooxml/officeDocument/relationships/comments" Target="../comments8.xml"/><Relationship Id="rId2" Type="http://schemas.openxmlformats.org/officeDocument/2006/relationships/vmlDrawing" Target="../drawings/vmlDrawing8.vml"/><Relationship Id="rId1" Type="http://purl.oclc.org/ooxml/officeDocument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purl.oclc.org/ooxml/officeDocument/relationships/comments" Target="../comments9.xml"/><Relationship Id="rId2" Type="http://schemas.openxmlformats.org/officeDocument/2006/relationships/vmlDrawing" Target="../drawings/vmlDrawing9.vml"/><Relationship Id="rId1" Type="http://purl.oclc.org/ooxml/officeDocument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purl.oclc.org/ooxml/officeDocument/relationships/comments" Target="../comments10.xml"/><Relationship Id="rId2" Type="http://schemas.openxmlformats.org/officeDocument/2006/relationships/vmlDrawing" Target="../drawings/vmlDrawing10.vml"/><Relationship Id="rId1" Type="http://purl.oclc.org/ooxml/officeDocument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purl.oclc.org/ooxml/officeDocument/relationships/comments" Target="../comments11.xml"/><Relationship Id="rId2" Type="http://schemas.openxmlformats.org/officeDocument/2006/relationships/vmlDrawing" Target="../drawings/vmlDrawing11.vml"/><Relationship Id="rId1" Type="http://purl.oclc.org/ooxml/officeDocument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purl.oclc.org/ooxml/officeDocument/relationships/comments" Target="../comments12.xml"/><Relationship Id="rId2" Type="http://schemas.openxmlformats.org/officeDocument/2006/relationships/vmlDrawing" Target="../drawings/vmlDrawing12.vml"/><Relationship Id="rId1" Type="http://purl.oclc.org/ooxml/officeDocument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purl.oclc.org/ooxml/officeDocument/relationships/comments" Target="../comments13.xml"/><Relationship Id="rId2" Type="http://schemas.openxmlformats.org/officeDocument/2006/relationships/vmlDrawing" Target="../drawings/vmlDrawing13.vml"/><Relationship Id="rId1" Type="http://purl.oclc.org/ooxml/officeDocument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3" Type="http://purl.oclc.org/ooxml/officeDocument/relationships/comments" Target="../comments14.xml"/><Relationship Id="rId2" Type="http://schemas.openxmlformats.org/officeDocument/2006/relationships/vmlDrawing" Target="../drawings/vmlDrawing14.vml"/><Relationship Id="rId1" Type="http://purl.oclc.org/ooxml/officeDocument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3" Type="http://purl.oclc.org/ooxml/officeDocument/relationships/comments" Target="../comments15.xml"/><Relationship Id="rId2" Type="http://schemas.openxmlformats.org/officeDocument/2006/relationships/vmlDrawing" Target="../drawings/vmlDrawing15.vml"/><Relationship Id="rId1" Type="http://purl.oclc.org/ooxml/officeDocument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purl.oclc.org/ooxml/officeDocument/relationships/comments" Target="../comments16.xml"/><Relationship Id="rId2" Type="http://schemas.openxmlformats.org/officeDocument/2006/relationships/vmlDrawing" Target="../drawings/vmlDrawing16.vml"/><Relationship Id="rId1" Type="http://purl.oclc.org/ooxml/officeDocument/relationships/drawing" Target="../drawings/drawing1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DFFF-B4FC-FF4C-820D-30DE19346F38}">
  <sheetPr codeName="Sheet1"/>
  <dimension ref="A1:G44"/>
  <sheetViews>
    <sheetView tabSelected="1" zoomScaleNormal="100" workbookViewId="0">
      <selection activeCell="F22" sqref="F22"/>
    </sheetView>
  </sheetViews>
  <sheetFormatPr baseColWidth="10" defaultColWidth="9.1640625" defaultRowHeight="15" customHeight="1" x14ac:dyDescent="0.15"/>
  <cols>
    <col min="1" max="1" width="38.83203125" style="9" customWidth="1"/>
    <col min="2" max="2" width="47.5" style="10" customWidth="1"/>
    <col min="3" max="3" width="6.5" style="9" customWidth="1"/>
    <col min="4" max="4" width="30" style="9" customWidth="1"/>
    <col min="5" max="5" width="22.1640625" style="9" customWidth="1"/>
    <col min="6" max="6" width="29.1640625" style="9" customWidth="1"/>
    <col min="7" max="7" width="25.6640625" style="9" customWidth="1"/>
    <col min="8" max="16384" width="9.1640625" style="9"/>
  </cols>
  <sheetData>
    <row r="1" spans="1:7" ht="15" customHeight="1" thickBot="1" x14ac:dyDescent="0.2">
      <c r="A1" s="114" t="s">
        <v>15</v>
      </c>
      <c r="B1" s="115"/>
      <c r="C1" s="115"/>
      <c r="D1" s="115"/>
      <c r="E1" s="115"/>
      <c r="F1" s="115"/>
      <c r="G1" s="115"/>
    </row>
    <row r="2" spans="1:7" ht="15" customHeight="1" thickBot="1" x14ac:dyDescent="0.2">
      <c r="A2" s="83" t="s">
        <v>0</v>
      </c>
      <c r="B2" s="5" t="s">
        <v>798</v>
      </c>
      <c r="D2" s="82" t="s">
        <v>136</v>
      </c>
      <c r="E2" s="43" t="d">
        <v>2025-11-30T09:37:26.73425357323139775</v>
      </c>
    </row>
    <row r="3" spans="1:7" ht="15" customHeight="1" thickBot="1" x14ac:dyDescent="0.2">
      <c r="A3" s="6"/>
      <c r="B3" s="7"/>
    </row>
    <row r="4" spans="1:7" ht="15" customHeight="1" thickBot="1" x14ac:dyDescent="0.2">
      <c r="A4" s="119" t="s">
        <v>1</v>
      </c>
      <c r="B4" s="120"/>
      <c r="D4" s="116" t="s">
        <v>85</v>
      </c>
      <c r="E4" s="117"/>
      <c r="F4" s="117"/>
      <c r="G4" s="118"/>
    </row>
    <row r="5" spans="1:7" ht="15" customHeight="1" x14ac:dyDescent="0.15">
      <c r="A5" s="84" t="s">
        <v>2</v>
      </c>
      <c r="B5" s="12" t="s">
        <v>241</v>
      </c>
      <c r="D5" s="85" t="s">
        <v>86</v>
      </c>
      <c r="E5" s="85" t="s">
        <v>137</v>
      </c>
      <c r="F5" s="85" t="s">
        <v>4</v>
      </c>
      <c r="G5" s="85" t="s">
        <v>138</v>
      </c>
    </row>
    <row r="6" spans="1:7" ht="15" customHeight="1" x14ac:dyDescent="0.15">
      <c r="A6" s="15" t="s">
        <v>41</v>
      </c>
      <c r="B6" s="12" t="s">
        <v>797</v>
      </c>
    </row>
    <row r="7" spans="1:7" ht="15" customHeight="1" x14ac:dyDescent="0.15">
      <c r="A7" s="15" t="s">
        <v>42</v>
      </c>
      <c r="B7" s="12" t="s">
        <v>799</v>
      </c>
    </row>
    <row r="8" spans="1:7" ht="15" customHeight="1" x14ac:dyDescent="0.15">
      <c r="A8" s="15" t="s">
        <v>4</v>
      </c>
      <c r="B8" s="12" t="s">
        <v>800</v>
      </c>
    </row>
    <row r="9" spans="1:7" ht="15" customHeight="1" x14ac:dyDescent="0.15">
      <c r="A9" s="15" t="s">
        <v>43</v>
      </c>
      <c r="B9" s="12">
        <v>23</v>
      </c>
    </row>
    <row r="10" spans="1:7" ht="15" customHeight="1" x14ac:dyDescent="0.15">
      <c r="A10" s="15" t="s">
        <v>14</v>
      </c>
      <c r="B10" s="13">
        <v>6414</v>
      </c>
    </row>
    <row r="11" spans="1:7" ht="15" customHeight="1" x14ac:dyDescent="0.15">
      <c r="A11" s="15" t="s">
        <v>13</v>
      </c>
      <c r="B11" s="12" t="s">
        <v>801</v>
      </c>
    </row>
    <row r="12" spans="1:7" ht="15" customHeight="1" x14ac:dyDescent="0.15">
      <c r="A12" s="15" t="s">
        <v>5</v>
      </c>
      <c r="B12" s="12" t="s">
        <v>802</v>
      </c>
    </row>
    <row r="13" spans="1:7" ht="15" customHeight="1" x14ac:dyDescent="0.2">
      <c r="A13" s="15" t="s">
        <v>3</v>
      </c>
      <c r="B13" s="109" t="s">
        <v>803</v>
      </c>
    </row>
    <row r="14" spans="1:7" ht="15" customHeight="1" x14ac:dyDescent="0.15">
      <c r="A14" s="15" t="s">
        <v>44</v>
      </c>
      <c r="B14" s="12">
        <v>41416443434</v>
      </c>
    </row>
    <row r="15" spans="1:7" ht="15" customHeight="1" x14ac:dyDescent="0.15">
      <c r="A15" s="15" t="s">
        <v>45</v>
      </c>
      <c r="B15" s="12">
        <v>41792323233</v>
      </c>
    </row>
    <row r="16" spans="1:7" ht="15" customHeight="1" thickBot="1" x14ac:dyDescent="0.2">
      <c r="A16" s="8"/>
      <c r="B16" s="8"/>
    </row>
    <row r="17" spans="1:2" ht="15" customHeight="1" thickBot="1" x14ac:dyDescent="0.2">
      <c r="A17" s="121" t="s">
        <v>6</v>
      </c>
      <c r="B17" s="122"/>
    </row>
    <row r="18" spans="1:2" ht="26.25" customHeight="1" x14ac:dyDescent="0.15">
      <c r="A18" s="84" t="s">
        <v>14</v>
      </c>
      <c r="B18" s="41" t="s">
        <v>804</v>
      </c>
    </row>
    <row r="19" spans="1:2" ht="13" x14ac:dyDescent="0.15">
      <c r="A19" s="15" t="s">
        <v>13</v>
      </c>
      <c r="B19" s="12" t="s">
        <v>805</v>
      </c>
    </row>
    <row r="20" spans="1:2" ht="15" customHeight="1" x14ac:dyDescent="0.15">
      <c r="A20" s="15" t="s">
        <v>46</v>
      </c>
      <c r="B20" s="12"/>
    </row>
    <row r="21" spans="1:2" ht="15" customHeight="1" x14ac:dyDescent="0.15">
      <c r="A21" s="15" t="s">
        <v>47</v>
      </c>
      <c r="B21" s="12" t="s">
        <v>806</v>
      </c>
    </row>
    <row r="22" spans="1:2" ht="13" x14ac:dyDescent="0.15">
      <c r="A22" s="15" t="s">
        <v>48</v>
      </c>
      <c r="B22" s="12">
        <v>4</v>
      </c>
    </row>
    <row r="23" spans="1:2" ht="18.75" customHeight="1" x14ac:dyDescent="0.15">
      <c r="A23" s="15" t="s">
        <v>49</v>
      </c>
      <c r="B23" s="12" t="s">
        <v>807</v>
      </c>
    </row>
    <row r="24" spans="1:2" ht="15" customHeight="1" x14ac:dyDescent="0.15">
      <c r="A24" s="15" t="s">
        <v>7</v>
      </c>
      <c r="B24" s="13">
        <v>1950</v>
      </c>
    </row>
    <row r="25" spans="1:2" ht="15" customHeight="1" x14ac:dyDescent="0.15">
      <c r="A25" s="15" t="s">
        <v>187</v>
      </c>
      <c r="B25" s="13">
        <v>1999</v>
      </c>
    </row>
    <row r="26" spans="1:2" ht="15" customHeight="1" x14ac:dyDescent="0.15">
      <c r="A26" s="15" t="s">
        <v>50</v>
      </c>
      <c r="B26" s="12" t="s">
        <v>808</v>
      </c>
    </row>
    <row r="27" spans="1:2" ht="15" customHeight="1" x14ac:dyDescent="0.15">
      <c r="A27" s="15" t="s">
        <v>66</v>
      </c>
      <c r="B27" s="12" t="s">
        <v>261</v>
      </c>
    </row>
    <row r="28" spans="1:2" ht="15" customHeight="1" x14ac:dyDescent="0.15">
      <c r="A28" s="15" t="s">
        <v>144</v>
      </c>
      <c r="B28" s="14" t="s">
        <v>261</v>
      </c>
    </row>
    <row r="29" spans="1:2" ht="15" customHeight="1" x14ac:dyDescent="0.15">
      <c r="A29" s="15" t="s">
        <v>145</v>
      </c>
      <c r="B29" s="12">
        <v>1100</v>
      </c>
    </row>
    <row r="30" spans="1:2" ht="15" customHeight="1" x14ac:dyDescent="0.15">
      <c r="A30" s="15" t="s">
        <v>8</v>
      </c>
      <c r="B30" s="14">
        <v>0</v>
      </c>
    </row>
    <row r="31" spans="1:2" ht="15" customHeight="1" x14ac:dyDescent="0.15">
      <c r="A31" s="15" t="s">
        <v>9</v>
      </c>
      <c r="B31" s="14">
        <v>2.4</v>
      </c>
    </row>
    <row r="32" spans="1:2" ht="15" customHeight="1" x14ac:dyDescent="0.15">
      <c r="A32" s="15" t="s">
        <v>10</v>
      </c>
      <c r="B32" s="13">
        <v>3</v>
      </c>
    </row>
    <row r="33" spans="1:2" ht="15" customHeight="1" x14ac:dyDescent="0.15">
      <c r="A33" s="15" t="s">
        <v>11</v>
      </c>
      <c r="B33" s="14">
        <v>22</v>
      </c>
    </row>
    <row r="34" spans="1:2" ht="15" customHeight="1" x14ac:dyDescent="0.15">
      <c r="A34" s="15" t="s">
        <v>51</v>
      </c>
      <c r="B34" s="14" t="s">
        <v>254</v>
      </c>
    </row>
    <row r="35" spans="1:2" ht="15" customHeight="1" x14ac:dyDescent="0.15">
      <c r="A35" s="15" t="s">
        <v>65</v>
      </c>
      <c r="B35" s="14" t="s">
        <v>257</v>
      </c>
    </row>
    <row r="36" spans="1:2" ht="15" customHeight="1" thickBot="1" x14ac:dyDescent="0.2"/>
    <row r="37" spans="1:2" ht="15" customHeight="1" thickBot="1" x14ac:dyDescent="0.2">
      <c r="A37" s="110" t="s">
        <v>23</v>
      </c>
      <c r="B37" s="111"/>
    </row>
    <row r="38" spans="1:2" ht="60" customHeight="1" thickBot="1" x14ac:dyDescent="0.2">
      <c r="A38" s="86" t="s">
        <v>301</v>
      </c>
      <c r="B38" s="16" t="s">
        <v>809</v>
      </c>
    </row>
    <row r="39" spans="1:2" ht="15" customHeight="1" thickBot="1" x14ac:dyDescent="0.2">
      <c r="A39" s="11"/>
    </row>
    <row r="40" spans="1:2" ht="15" customHeight="1" thickBot="1" x14ac:dyDescent="0.2">
      <c r="A40" s="110" t="s">
        <v>26</v>
      </c>
      <c r="B40" s="111"/>
    </row>
    <row r="41" spans="1:2" ht="60" customHeight="1" thickBot="1" x14ac:dyDescent="0.2">
      <c r="A41" s="86" t="s">
        <v>25</v>
      </c>
      <c r="B41" s="17" t="s">
        <v>810</v>
      </c>
    </row>
    <row r="43" spans="1:2" ht="15" customHeight="1" thickBot="1" x14ac:dyDescent="0.2">
      <c r="A43" s="112" t="s">
        <v>84</v>
      </c>
      <c r="B43" s="113"/>
    </row>
    <row r="44" spans="1:2" ht="60" customHeight="1" x14ac:dyDescent="0.15">
      <c r="A44" s="87" t="s">
        <v>24</v>
      </c>
      <c r="B44" s="42" t="s">
        <v>811</v>
      </c>
    </row>
  </sheetData>
  <mergeCells count="7">
    <mergeCell ref="A37:B37"/>
    <mergeCell ref="A40:B40"/>
    <mergeCell ref="A43:B43"/>
    <mergeCell ref="A1:G1"/>
    <mergeCell ref="D4:G4"/>
    <mergeCell ref="A4:B4"/>
    <mergeCell ref="A17:B17"/>
  </mergeCells>
  <conditionalFormatting sqref="E2">
    <cfRule type="containsBlanks" dxfId="50" priority="1">
      <formula>LEN(TRIM(E2))=0</formula>
    </cfRule>
  </conditionalFormatting>
  <dataValidations count="11">
    <dataValidation type="list" showErrorMessage="1" sqref="B5" xr:uid="{5AD31F43-0C5C-054A-A5CD-A72FA4824DEE}">
      <formula1>Title</formula1>
    </dataValidation>
    <dataValidation type="list" showErrorMessage="1" sqref="B34" xr:uid="{07E68C43-1872-0B46-9CC6-7E45EB07AD96}">
      <formula1>ConstructionType</formula1>
    </dataValidation>
    <dataValidation type="list" showErrorMessage="1" sqref="B35" xr:uid="{19740E7E-DD91-4E4C-93D3-E9ABEEB70A37}">
      <formula1>GroundPlanType</formula1>
    </dataValidation>
    <dataValidation type="list" showErrorMessage="1" sqref="B27" xr:uid="{C3548D2A-577D-5841-AB4F-5CED110422AD}">
      <formula1>WeatherStations</formula1>
    </dataValidation>
    <dataValidation type="list" showErrorMessage="1" sqref="B28" xr:uid="{9AA34BFB-1158-C546-9838-23F6FF3C7E77}">
      <formula1>BestKnownWeatherStations</formula1>
    </dataValidation>
    <dataValidation type="textLength" operator="lessThanOrEqual" allowBlank="1" showInputMessage="1" showErrorMessage="1" prompt="Max. 50 Zeichen." sqref="B2 B11:B12 B6:B7" xr:uid="{F16D46D1-443D-8644-BDF5-BF8C58A7B0F2}">
      <formula1>50</formula1>
    </dataValidation>
    <dataValidation type="textLength" operator="lessThanOrEqual" allowBlank="1" showInputMessage="1" showErrorMessage="1" prompt="Max. 250 Zeichen." sqref="B26 B19:B23 B13 B8:B9" xr:uid="{6FB1264C-A23C-674A-A32E-B8871CF3E14E}">
      <formula1>250</formula1>
    </dataValidation>
    <dataValidation type="textLength" operator="lessThanOrEqual" allowBlank="1" showInputMessage="1" showErrorMessage="1" prompt="Max. 20 Zeichen." sqref="B10" xr:uid="{EA0BFD70-86FD-9940-A80D-37DD04CC1EF1}">
      <formula1>20</formula1>
    </dataValidation>
    <dataValidation type="textLength" operator="lessThanOrEqual" allowBlank="1" showInputMessage="1" showErrorMessage="1" prompt="Max. 100 Zeichen." sqref="B14:B15" xr:uid="{B614621C-4ECE-AE44-BFA9-0F056D453029}">
      <formula1>100</formula1>
    </dataValidation>
    <dataValidation type="textLength" operator="lessThanOrEqual" allowBlank="1" showInputMessage="1" showErrorMessage="1" prompt="Max. 600 Zeichen." sqref="B38" xr:uid="{A809AAAB-35BF-524F-BEBD-AA2DEF78D271}">
      <formula1>600</formula1>
    </dataValidation>
    <dataValidation type="textLength" operator="lessThanOrEqual" allowBlank="1" showInputMessage="1" showErrorMessage="1" prompt="Max. 1000 Zeichen." sqref="B41 B44" xr:uid="{CB99D3EF-5A05-F247-ABC6-3BF54EEC5A11}">
      <formula1>1000</formula1>
    </dataValidation>
  </dataValidations>
  <hyperlinks>
    <hyperlink ref="B13" r:id="rId1" xr:uid="{52A4973D-80E3-F54A-8B32-F070F6477CF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7D6E-030B-394A-99A4-6004FC9B5B40}">
  <dimension ref="A1:J66"/>
  <sheetViews>
    <sheetView zoomScaleNormal="100" workbookViewId="0"/>
  </sheetViews>
  <sheetFormatPr baseColWidth="10" defaultRowHeight="15" x14ac:dyDescent="0.2"/>
  <cols>
    <col min="1" max="6" width="37.1640625" customWidth="1"/>
    <col min="7" max="256" width="8.83203125" customWidth="1"/>
  </cols>
  <sheetData>
    <row r="1" spans="1:10" ht="16" thickBot="1" x14ac:dyDescent="0.25">
      <c r="A1" s="129" t="s">
        <v>168</v>
      </c>
      <c r="B1" s="130"/>
      <c r="C1" s="130"/>
      <c r="D1" s="130"/>
      <c r="E1" s="130"/>
      <c r="F1" s="130"/>
      <c r="G1" s="130"/>
      <c r="H1" s="130"/>
      <c r="I1" s="130"/>
      <c r="J1" s="130"/>
    </row>
    <row r="3" spans="1:10" ht="16" thickBot="1" x14ac:dyDescent="0.25">
      <c r="B3" s="52"/>
      <c r="C3" s="52"/>
      <c r="D3" s="52"/>
    </row>
    <row r="4" spans="1:10" ht="15.75" customHeight="1" thickBot="1" x14ac:dyDescent="0.25">
      <c r="A4" s="50"/>
      <c r="B4" s="92" t="s">
        <v>158</v>
      </c>
      <c r="C4" s="92" t="s">
        <v>159</v>
      </c>
      <c r="D4" s="92" t="s">
        <v>160</v>
      </c>
    </row>
    <row r="5" spans="1:10" ht="16" thickBot="1" x14ac:dyDescent="0.25">
      <c r="A5" s="88" t="s">
        <v>161</v>
      </c>
      <c r="B5" s="64"/>
      <c r="C5" s="64"/>
      <c r="D5" s="64"/>
    </row>
    <row r="6" spans="1:10" x14ac:dyDescent="0.2">
      <c r="A6" s="89" t="s">
        <v>169</v>
      </c>
      <c r="B6" s="60"/>
      <c r="C6" s="60"/>
      <c r="D6" s="60"/>
      <c r="E6" s="90" t="s">
        <v>166</v>
      </c>
    </row>
    <row r="7" spans="1:10" x14ac:dyDescent="0.2">
      <c r="A7" s="89" t="s">
        <v>162</v>
      </c>
      <c r="B7" s="60"/>
      <c r="C7" s="60"/>
      <c r="D7" s="60"/>
      <c r="E7" s="53">
        <f>SUM(B7:D7)</f>
        <v>0</v>
      </c>
    </row>
    <row r="8" spans="1:10" ht="16" thickBot="1" x14ac:dyDescent="0.25">
      <c r="A8" s="89" t="s">
        <v>163</v>
      </c>
      <c r="B8" s="65" t="str">
        <f>IF(ISBLANK(B7),"",B7/$E$7)</f>
        <v/>
      </c>
      <c r="C8" s="65" t="str">
        <f>IF(ISBLANK(C7),"",C7/$E$7)</f>
        <v/>
      </c>
      <c r="D8" s="65" t="str">
        <f>IF(ISBLANK(D7),"",D7/$E$7)</f>
        <v/>
      </c>
      <c r="E8" s="54" t="str">
        <f>IF(OR(ISBLANK(E7),E7=0),"",E7/$E$7)</f>
        <v/>
      </c>
    </row>
    <row r="9" spans="1:10" ht="16" thickBot="1" x14ac:dyDescent="0.25">
      <c r="A9" s="91" t="s">
        <v>7</v>
      </c>
      <c r="B9" s="62"/>
      <c r="C9" s="62"/>
      <c r="D9" s="61"/>
      <c r="E9" s="63"/>
    </row>
    <row r="10" spans="1:10" ht="16" thickBot="1" x14ac:dyDescent="0.25">
      <c r="A10" s="51"/>
      <c r="B10" s="51"/>
      <c r="C10" s="51"/>
      <c r="D10" s="51"/>
    </row>
    <row r="11" spans="1:10" ht="16" thickBot="1" x14ac:dyDescent="0.25">
      <c r="A11" s="126" t="s">
        <v>164</v>
      </c>
      <c r="B11" s="127"/>
      <c r="C11" s="127"/>
      <c r="D11" s="128"/>
    </row>
    <row r="12" spans="1:10" x14ac:dyDescent="0.2">
      <c r="A12" s="88" t="s">
        <v>139</v>
      </c>
      <c r="B12" s="58"/>
      <c r="C12" s="59"/>
      <c r="D12" s="59"/>
    </row>
    <row r="13" spans="1:10" x14ac:dyDescent="0.2">
      <c r="A13" s="89" t="s">
        <v>141</v>
      </c>
      <c r="B13" s="53"/>
      <c r="C13" s="60"/>
      <c r="D13" s="60"/>
    </row>
    <row r="14" spans="1:10" x14ac:dyDescent="0.2">
      <c r="A14" s="89" t="s">
        <v>142</v>
      </c>
      <c r="B14" s="53"/>
      <c r="C14" s="60"/>
      <c r="D14" s="60"/>
    </row>
    <row r="15" spans="1:10" x14ac:dyDescent="0.2">
      <c r="A15" s="89" t="s">
        <v>143</v>
      </c>
      <c r="B15" s="53"/>
      <c r="C15" s="60"/>
      <c r="D15" s="60"/>
    </row>
    <row r="16" spans="1:10" x14ac:dyDescent="0.2">
      <c r="A16" s="89" t="s">
        <v>182</v>
      </c>
      <c r="B16" s="53"/>
      <c r="C16" s="60"/>
      <c r="D16" s="60"/>
    </row>
    <row r="17" spans="1:6" x14ac:dyDescent="0.2">
      <c r="A17" s="89" t="s">
        <v>140</v>
      </c>
      <c r="B17" s="53"/>
      <c r="C17" s="60"/>
      <c r="D17" s="60"/>
    </row>
    <row r="18" spans="1:6" x14ac:dyDescent="0.2">
      <c r="A18" s="89" t="s">
        <v>165</v>
      </c>
      <c r="B18" s="53"/>
      <c r="C18" s="60"/>
      <c r="D18" s="60"/>
    </row>
    <row r="19" spans="1:6" ht="16" thickBot="1" x14ac:dyDescent="0.25">
      <c r="A19" s="91" t="s">
        <v>183</v>
      </c>
      <c r="B19" s="61"/>
      <c r="C19" s="62"/>
      <c r="D19" s="62"/>
    </row>
    <row r="20" spans="1:6" ht="16" thickBot="1" x14ac:dyDescent="0.25">
      <c r="A20" s="52"/>
      <c r="B20" s="52"/>
      <c r="C20" s="52"/>
      <c r="D20" s="52"/>
      <c r="E20" s="52"/>
      <c r="F20" s="52"/>
    </row>
    <row r="21" spans="1:6" x14ac:dyDescent="0.2">
      <c r="A21" s="123" t="s">
        <v>158</v>
      </c>
      <c r="B21" s="124"/>
      <c r="C21" s="125" t="s">
        <v>159</v>
      </c>
      <c r="D21" s="124"/>
      <c r="E21" s="125" t="s">
        <v>160</v>
      </c>
      <c r="F21" s="124"/>
    </row>
    <row r="22" spans="1:6" s="47" customFormat="1" ht="24" customHeight="1" x14ac:dyDescent="0.2">
      <c r="A22" s="55" t="str">
        <f>IF(B5="Restaurant","Anzahl Sitze",IF(B5="Hotel","Belegung «Ganzes Jahr»? (1=Ja, 0=Nein)",IF(B5="Schule","Anzahl Schüler",IF(B5="Büro/Verwaltung","Anzahl Personal",IF(B5="Einfamilienhaus","Anzahl Personen",IF(B5="Mehrfamilienhaus","Anzahl Personen",""))))))</f>
        <v/>
      </c>
      <c r="B22" s="56"/>
      <c r="C22" s="93" t="str">
        <f>IF(C5="Restaurant","Anzahl Sitze",IF(C5="Hotel","Belegung «Ganzes Jahr»? (1=Ja, 0=Nein)",IF(C5="Schule","Anzahl Schüler",IF(C5="Büro/Verwaltung","Anzahl Personal",IF(C5="Einfamilienhaus","Anzahl Personen",IF(C5="Mehrfamilienhaus","Anzahl Personen",""))))))</f>
        <v/>
      </c>
      <c r="D22" s="56"/>
      <c r="E22" s="93" t="str">
        <f>IF(D5="Restaurant","Anzahl Sitze",IF(D5="Hotel","Belegung «Ganzes Jahr»? (1=Ja, 0=Nein)",IF(D5="Schule","Anzahl Schüler",IF(D5="Büro/Verwaltung","Anzahl Personal",IF(D5="Einfamilienhaus","Anzahl Personen",IF(D5="Mehrfamilienhaus","Anzahl Personen",""))))))</f>
        <v/>
      </c>
      <c r="F22" s="56"/>
    </row>
    <row r="23" spans="1:6" s="47" customFormat="1" ht="24" customHeight="1" x14ac:dyDescent="0.2">
      <c r="A23" s="55" t="str">
        <f>IF(B5="Hotel","Anzahl Übernachtungen",IF(B5="Schule","Anzahl Klassenzimmer",IF(B5="Büro/Verwaltung","Anzahl Arbeitsplätze",IF(B5="Einfamilienhaus","Anzahl 1-Zimmer-Wohnungen",IF(B5="Mehrfamilienhaus","Anzahl 1-Zimmer-Wohnungen","")))))</f>
        <v/>
      </c>
      <c r="B23" s="56"/>
      <c r="C23" s="93" t="str">
        <f>IF(C5="Hotel","Anzahl Übernachtungen",IF(C5="Schule","Anzahl Klassenzimmer",IF(C5="Büro/Verwaltung","Anzahl Arbeitsplätze",IF(C5="Einfamilienhaus","Anzahl 1-Zimmer-Wohnungen",IF(C5="Mehrfamilienhaus","Anzahl 1-Zimmer-Wohnungen","")))))</f>
        <v/>
      </c>
      <c r="D23" s="56"/>
      <c r="E23" s="93" t="str">
        <f>IF(D5="Hotel","Anzahl Übernachtungen",IF(D5="Schule","Anzahl Klassenzimmer",IF(D5="Büro/Verwaltung","Anzahl Arbeitsplätze",IF(D5="Einfamilienhaus","Anzahl 1-Zimmer-Wohnungen",IF(D5="Mehrfamilienhaus","Anzahl 1-Zimmer-Wohnungen","")))))</f>
        <v/>
      </c>
      <c r="F23" s="56"/>
    </row>
    <row r="24" spans="1:6" s="47" customFormat="1" ht="24" customHeight="1" x14ac:dyDescent="0.2">
      <c r="A24" s="55" t="str">
        <f>IF(B5="Hotel","Anzahl Zimmer",IF(B5="Schule","Turnhalle",IF(B5="Büro/Verwaltung","Mittlere Benutzungszeit der Arbeitsplätze (wegen Teilzeitarbeit oder Aussendienst), in %",IF(B5="Einfamilienhaus","Anzahl 2-Zimmer-Wohnungen",IF(B5="Mehrfamilienhaus","Anzahl 2-Zimmer-Wohnungen","")))))</f>
        <v/>
      </c>
      <c r="B24" s="56"/>
      <c r="C24" s="93" t="str">
        <f>IF(C5="Hotel","Anzahl Zimmer",IF(C5="Schule","Turnhalle",IF(C5="Büro/Verwaltung","Mittlere Benutzungszeit der Arbeitsplätze (wegen Teilzeitarbeit oder Aussendienst), in %",IF(C5="Einfamilienhaus","Anzahl 2-Zimmer-Wohnungen",IF(C5="Mehrfamilienhaus","Anzahl 2-Zimmer-Wohnungen","")))))</f>
        <v/>
      </c>
      <c r="D24" s="56"/>
      <c r="E24" s="93" t="str">
        <f>IF(D5="Hotel","Anzahl Zimmer",IF(D5="Schule","Turnhalle",IF(D5="Büro/Verwaltung","Mittlere Benutzungszeit der Arbeitsplätze (wegen Teilzeitarbeit oder Aussendienst), in %",IF(D5="Einfamilienhaus","Anzahl 2-Zimmer-Wohnungen",IF(D5="Mehrfamilienhaus","Anzahl 2-Zimmer-Wohnungen","")))))</f>
        <v/>
      </c>
      <c r="F24" s="56"/>
    </row>
    <row r="25" spans="1:6" s="47" customFormat="1" ht="24" customHeight="1" x14ac:dyDescent="0.2">
      <c r="A25" s="55" t="str">
        <f>IF(B5="Hotel","Anzahl Betten",IF(B5="Einfamilienhaus","Anzahl 3-Zimmer-Wohnungen",IF(B5="Mehrfamilienhaus","Anzahl 3-Zimmer-Wohnungen","")))</f>
        <v/>
      </c>
      <c r="B25" s="56"/>
      <c r="C25" s="93" t="str">
        <f>IF(C5="Hotel","Anzahl Betten",IF(C5="Einfamilienhaus","Anzahl 3-Zimmer-Wohnungen",IF(C5="Mehrfamilienhaus","Anzahl 3-Zimmer-Wohnungen","")))</f>
        <v/>
      </c>
      <c r="D25" s="56"/>
      <c r="E25" s="93" t="str">
        <f>IF(D5="Hotel","Anzahl Betten",IF(D5="Einfamilienhaus","Anzahl 3-Zimmer-Wohnungen",IF(D5="Mehrfamilienhaus","Anzahl 3-Zimmer-Wohnungen","")))</f>
        <v/>
      </c>
      <c r="F25" s="56"/>
    </row>
    <row r="26" spans="1:6" s="47" customFormat="1" ht="24" customHeight="1" x14ac:dyDescent="0.2">
      <c r="A26" s="55" t="str">
        <f>IF(B5="Hotel","Wellnessbereich vorhanden? (1=Ja, 0=Nein)",IF(B5="Einfamilienhaus","Anzahl 4-Zimmer-Wohnungen",IF(B5="Mehrfamilienhaus","Anzahl 4-Zimmer-Wohnungen","")))</f>
        <v/>
      </c>
      <c r="B26" s="56"/>
      <c r="C26" s="93" t="str">
        <f>IF(C5="Hotel","Wellnessbereich vorhanden? (1=Ja, 0=Nein)",IF(C5="Einfamilienhaus","Anzahl 4-Zimmer-Wohnungen",IF(C5="Mehrfamilienhaus","Anzahl 4-Zimmer-Wohnungen","")))</f>
        <v/>
      </c>
      <c r="D26" s="56"/>
      <c r="E26" s="93" t="str">
        <f>IF(D5="Hotel","Wellnessbereich vorhanden? (1=Ja, 0=Nein)",IF(D5="Einfamilienhaus","Anzahl 4-Zimmer-Wohnungen",IF(D5="Mehrfamilienhaus","Anzahl 4-Zimmer-Wohnungen","")))</f>
        <v/>
      </c>
      <c r="F26" s="56"/>
    </row>
    <row r="27" spans="1:6" s="47" customFormat="1" ht="24" customHeight="1" x14ac:dyDescent="0.2">
      <c r="A27" s="55" t="str">
        <f>IF(B5="Hotel","Schwimmhalle vorhanden? (1=Ja, 0=Nein)",IF(B5="Einfamilienhaus","Anzahl 5-Zimmer-Wohnungen",IF(B5="Mehrfamilienhaus","Anzahl 5-Zimmer-Wohnungen","")))</f>
        <v/>
      </c>
      <c r="B27" s="56"/>
      <c r="C27" s="93" t="str">
        <f>IF(C5="Hotel","Schwimmhalle vorhanden? (1=Ja, 0=Nein)",IF(C5="Einfamilienhaus","Anzahl 5-Zimmer-Wohnungen",IF(C5="Mehrfamilienhaus","Anzahl 5-Zimmer-Wohnungen","")))</f>
        <v/>
      </c>
      <c r="D27" s="56"/>
      <c r="E27" s="93" t="str">
        <f>IF(D5="Hotel","Schwimmhalle vorhanden? (1=Ja, 0=Nein)",IF(D5="Einfamilienhaus","Anzahl 5-Zimmer-Wohnungen",IF(D5="Mehrfamilienhaus","Anzahl 5-Zimmer-Wohnungen","")))</f>
        <v/>
      </c>
      <c r="F27" s="56"/>
    </row>
    <row r="28" spans="1:6" s="47" customFormat="1" ht="24" customHeight="1" x14ac:dyDescent="0.2">
      <c r="A28" s="55" t="str">
        <f>IF(B5="Hotel","Fitnessraum vorhanden? (1=Ja, 0=Nein)",IF(B5="Einfamilienhaus","Anzahl 6-Zimmer-Wohnungen",IF(B5="Mehrfamilienhaus","Anzahl 6-Zimmer-Wohnungen","")))</f>
        <v/>
      </c>
      <c r="B28" s="56"/>
      <c r="C28" s="93" t="str">
        <f>IF(C5="Hotel","Fitnessraum vorhanden? (1=Ja, 0=Nein)",IF(C5="Einfamilienhaus","Anzahl 6-Zimmer-Wohnungen",IF(C5="Mehrfamilienhaus","Anzahl 6-Zimmer-Wohnungen","")))</f>
        <v/>
      </c>
      <c r="D28" s="56"/>
      <c r="E28" s="93" t="str">
        <f>IF(D5="Hotel","Fitnessraum vorhanden? (1=Ja, 0=Nein)",IF(D5="Einfamilienhaus","Anzahl 6-Zimmer-Wohnungen",IF(D5="Mehrfamilienhaus","Anzahl 6-Zimmer-Wohnungen","")))</f>
        <v/>
      </c>
      <c r="F28" s="56"/>
    </row>
    <row r="29" spans="1:6" s="47" customFormat="1" ht="24" customHeight="1" x14ac:dyDescent="0.2">
      <c r="A29" s="55" t="str">
        <f>IF(B5="Hotel","Wäscherei vorhanden? (1=Ja, 0=Nein)",IF(B5="Einfamilienhaus","Anzahl Wohnungen mit über 6 Zimmer",IF(B5="Mehrfamilienhaus","Anzahl Wohnungen mit über 6 Zimmer","")))</f>
        <v/>
      </c>
      <c r="B29" s="56"/>
      <c r="C29" s="93" t="str">
        <f>IF(C5="Hotel","Wäscherei vorhanden? (1=Ja, 0=Nein)",IF(C5="Einfamilienhaus","Anzahl Wohnungen mit über 6 Zimmer",IF(C5="Mehrfamilienhaus","Anzahl Wohnungen mit über 6 Zimmer","")))</f>
        <v/>
      </c>
      <c r="D29" s="56"/>
      <c r="E29" s="93" t="str">
        <f>IF(D5="Hotel","Wäscherei vorhanden? (1=Ja, 0=Nein)",IF(D5="Einfamilienhaus","Anzahl Wohnungen mit über 6 Zimmer",IF(D5="Mehrfamilienhaus","Anzahl Wohnungen mit über 6 Zimmer","")))</f>
        <v/>
      </c>
      <c r="F29" s="56"/>
    </row>
    <row r="30" spans="1:6" s="47" customFormat="1" ht="24" customHeight="1" x14ac:dyDescent="0.2">
      <c r="A30" s="57"/>
      <c r="B30" s="57"/>
      <c r="C30" s="57"/>
      <c r="D30" s="57"/>
      <c r="E30" s="57"/>
      <c r="F30" s="57"/>
    </row>
    <row r="31" spans="1:6" s="47" customFormat="1" ht="24" customHeight="1" x14ac:dyDescent="0.2">
      <c r="A31" s="57"/>
      <c r="B31" s="57"/>
      <c r="C31" s="57"/>
      <c r="D31" s="57"/>
      <c r="E31" s="57"/>
      <c r="F31" s="57"/>
    </row>
    <row r="32" spans="1:6" s="47" customFormat="1" ht="24" customHeight="1" x14ac:dyDescent="0.2">
      <c r="A32" s="57"/>
      <c r="B32" s="57"/>
      <c r="C32" s="57"/>
      <c r="D32" s="57"/>
      <c r="E32" s="57"/>
      <c r="F32" s="57"/>
    </row>
    <row r="33" spans="1:6" s="47" customFormat="1" ht="24" customHeight="1" x14ac:dyDescent="0.2">
      <c r="A33" s="57"/>
      <c r="B33" s="57"/>
      <c r="C33" s="57"/>
      <c r="D33" s="57"/>
      <c r="E33" s="57"/>
      <c r="F33" s="57"/>
    </row>
    <row r="34" spans="1:6" s="47" customFormat="1" ht="24" customHeight="1" x14ac:dyDescent="0.2">
      <c r="A34" s="57"/>
      <c r="B34" s="57"/>
      <c r="C34" s="57"/>
      <c r="D34" s="57"/>
      <c r="E34" s="57"/>
      <c r="F34" s="57"/>
    </row>
    <row r="35" spans="1:6" s="47" customFormat="1" ht="24" customHeight="1" x14ac:dyDescent="0.2">
      <c r="A35" s="57"/>
      <c r="B35" s="57"/>
      <c r="C35" s="57"/>
      <c r="D35" s="57"/>
      <c r="E35" s="57"/>
      <c r="F35" s="57"/>
    </row>
    <row r="36" spans="1:6" s="47" customFormat="1" ht="24" customHeight="1" x14ac:dyDescent="0.2">
      <c r="A36" s="48"/>
      <c r="B36" s="48"/>
      <c r="C36" s="48"/>
      <c r="D36" s="48"/>
      <c r="E36" s="48"/>
      <c r="F36" s="48"/>
    </row>
    <row r="37" spans="1:6" s="47" customFormat="1" ht="24" customHeight="1" x14ac:dyDescent="0.2">
      <c r="A37" s="48"/>
      <c r="B37" s="48"/>
      <c r="C37" s="48"/>
      <c r="D37" s="49"/>
      <c r="E37" s="48"/>
      <c r="F37" s="49"/>
    </row>
    <row r="38" spans="1:6" s="47" customFormat="1" ht="24" customHeight="1" x14ac:dyDescent="0.2">
      <c r="A38" s="48"/>
      <c r="B38" s="48"/>
      <c r="C38" s="48"/>
      <c r="D38" s="49"/>
      <c r="E38" s="48"/>
      <c r="F38" s="49"/>
    </row>
    <row r="39" spans="1:6" s="47" customFormat="1" ht="24" customHeight="1" x14ac:dyDescent="0.2">
      <c r="A39" s="48"/>
      <c r="B39" s="48"/>
      <c r="C39" s="48"/>
      <c r="D39" s="49"/>
      <c r="E39" s="48"/>
      <c r="F39" s="49"/>
    </row>
    <row r="40" spans="1:6" s="47" customFormat="1" ht="24" customHeight="1" x14ac:dyDescent="0.2">
      <c r="A40" s="48"/>
      <c r="B40" s="48"/>
      <c r="C40" s="48"/>
      <c r="D40" s="49"/>
      <c r="E40" s="48"/>
      <c r="F40" s="49"/>
    </row>
    <row r="41" spans="1:6" s="47" customFormat="1" ht="24" customHeight="1" x14ac:dyDescent="0.2">
      <c r="A41" s="48"/>
      <c r="B41" s="48"/>
      <c r="C41" s="48"/>
      <c r="D41" s="49"/>
      <c r="E41" s="48"/>
      <c r="F41" s="49"/>
    </row>
    <row r="42" spans="1:6" x14ac:dyDescent="0.2">
      <c r="A42" s="46"/>
      <c r="B42" s="48"/>
      <c r="C42" s="48"/>
      <c r="D42" s="46"/>
      <c r="E42" s="46"/>
      <c r="F42" s="46"/>
    </row>
    <row r="43" spans="1:6" x14ac:dyDescent="0.2">
      <c r="A43" s="46"/>
      <c r="B43" s="46"/>
      <c r="C43" s="46"/>
      <c r="D43" s="46"/>
      <c r="E43" s="46"/>
      <c r="F43" s="46"/>
    </row>
    <row r="44" spans="1:6" x14ac:dyDescent="0.2">
      <c r="A44" s="46"/>
      <c r="B44" s="46"/>
      <c r="C44" s="46"/>
      <c r="D44" s="46"/>
      <c r="E44" s="46"/>
      <c r="F44" s="46"/>
    </row>
    <row r="45" spans="1:6" x14ac:dyDescent="0.2">
      <c r="A45" s="46"/>
      <c r="B45" s="46"/>
      <c r="C45" s="46"/>
      <c r="D45" s="46"/>
      <c r="E45" s="46"/>
      <c r="F45" s="46"/>
    </row>
    <row r="46" spans="1:6" x14ac:dyDescent="0.2">
      <c r="A46" s="46"/>
      <c r="B46" s="46"/>
      <c r="C46" s="46"/>
      <c r="D46" s="46"/>
      <c r="E46" s="46"/>
      <c r="F46" s="46"/>
    </row>
    <row r="47" spans="1:6" x14ac:dyDescent="0.2">
      <c r="A47" s="46"/>
      <c r="B47" s="46"/>
      <c r="C47" s="46"/>
      <c r="D47" s="46"/>
      <c r="E47" s="46"/>
      <c r="F47" s="46"/>
    </row>
    <row r="48" spans="1:6" x14ac:dyDescent="0.2">
      <c r="A48" s="46"/>
      <c r="B48" s="46"/>
      <c r="C48" s="46"/>
      <c r="D48" s="46"/>
      <c r="E48" s="46"/>
      <c r="F48" s="46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46"/>
      <c r="B50" s="46"/>
      <c r="C50" s="46"/>
      <c r="D50" s="46"/>
      <c r="E50" s="46"/>
      <c r="F50" s="46"/>
    </row>
    <row r="51" spans="1:6" x14ac:dyDescent="0.2">
      <c r="A51" s="46"/>
      <c r="B51" s="46"/>
      <c r="C51" s="46"/>
      <c r="D51" s="46"/>
      <c r="E51" s="46"/>
      <c r="F51" s="46"/>
    </row>
    <row r="52" spans="1:6" x14ac:dyDescent="0.2">
      <c r="A52" s="46"/>
      <c r="B52" s="46"/>
      <c r="C52" s="46"/>
      <c r="D52" s="46"/>
      <c r="E52" s="46"/>
      <c r="F52" s="46"/>
    </row>
    <row r="53" spans="1:6" x14ac:dyDescent="0.2">
      <c r="A53" s="46"/>
      <c r="B53" s="46"/>
      <c r="C53" s="46"/>
      <c r="D53" s="46"/>
      <c r="E53" s="46"/>
      <c r="F53" s="46"/>
    </row>
    <row r="54" spans="1:6" x14ac:dyDescent="0.2">
      <c r="A54" s="46"/>
      <c r="B54" s="46"/>
      <c r="C54" s="46"/>
      <c r="D54" s="46"/>
      <c r="E54" s="46"/>
      <c r="F54" s="46"/>
    </row>
    <row r="55" spans="1:6" x14ac:dyDescent="0.2">
      <c r="A55" s="46"/>
      <c r="B55" s="46"/>
      <c r="C55" s="46"/>
      <c r="D55" s="46"/>
      <c r="E55" s="46"/>
      <c r="F55" s="46"/>
    </row>
    <row r="56" spans="1:6" x14ac:dyDescent="0.2">
      <c r="A56" s="46"/>
      <c r="B56" s="46"/>
      <c r="C56" s="46"/>
      <c r="D56" s="46"/>
      <c r="E56" s="46"/>
      <c r="F56" s="46"/>
    </row>
    <row r="57" spans="1:6" x14ac:dyDescent="0.2">
      <c r="A57" s="46"/>
      <c r="B57" s="46"/>
      <c r="C57" s="46"/>
      <c r="D57" s="46"/>
      <c r="E57" s="46"/>
      <c r="F57" s="46"/>
    </row>
    <row r="58" spans="1:6" x14ac:dyDescent="0.2">
      <c r="A58" s="46"/>
      <c r="B58" s="46"/>
      <c r="C58" s="46"/>
      <c r="D58" s="46"/>
      <c r="E58" s="46"/>
      <c r="F58" s="46"/>
    </row>
    <row r="59" spans="1:6" x14ac:dyDescent="0.2">
      <c r="A59" s="46"/>
      <c r="B59" s="46"/>
      <c r="C59" s="46"/>
      <c r="D59" s="46"/>
      <c r="E59" s="46"/>
      <c r="F59" s="46"/>
    </row>
    <row r="60" spans="1:6" x14ac:dyDescent="0.2">
      <c r="A60" s="46"/>
      <c r="B60" s="46"/>
      <c r="C60" s="46"/>
      <c r="D60" s="46"/>
      <c r="E60" s="46"/>
      <c r="F60" s="46"/>
    </row>
    <row r="61" spans="1:6" x14ac:dyDescent="0.2">
      <c r="A61" s="46"/>
      <c r="B61" s="46"/>
      <c r="C61" s="46"/>
      <c r="D61" s="46"/>
      <c r="E61" s="46"/>
      <c r="F61" s="46"/>
    </row>
    <row r="62" spans="1:6" x14ac:dyDescent="0.2">
      <c r="B62" s="46"/>
      <c r="C62" s="46"/>
    </row>
    <row r="63" spans="1:6" x14ac:dyDescent="0.2">
      <c r="B63" s="46"/>
      <c r="C63" s="46"/>
    </row>
    <row r="64" spans="1:6" x14ac:dyDescent="0.2">
      <c r="B64" s="46"/>
      <c r="C64" s="46"/>
    </row>
    <row r="65" spans="2:3" x14ac:dyDescent="0.2">
      <c r="B65" s="46"/>
      <c r="C65" s="46"/>
    </row>
    <row r="66" spans="2:3" x14ac:dyDescent="0.2">
      <c r="B66" s="46"/>
      <c r="C66" s="46"/>
    </row>
  </sheetData>
  <mergeCells count="5">
    <mergeCell ref="A21:B21"/>
    <mergeCell ref="C21:D21"/>
    <mergeCell ref="E21:F21"/>
    <mergeCell ref="A11:D11"/>
    <mergeCell ref="A1:J1"/>
  </mergeCells>
  <conditionalFormatting sqref="A21:B29 A30:A61">
    <cfRule type="expression" dxfId="49" priority="12" stopIfTrue="1">
      <formula>$B$5=""</formula>
    </cfRule>
  </conditionalFormatting>
  <conditionalFormatting sqref="A22:F29 A30:A41 D30:F41">
    <cfRule type="cellIs" dxfId="48" priority="13" stopIfTrue="1" operator="equal">
      <formula>""</formula>
    </cfRule>
  </conditionalFormatting>
  <conditionalFormatting sqref="B30:C42">
    <cfRule type="expression" dxfId="47" priority="8" stopIfTrue="1">
      <formula>$D$5=""</formula>
    </cfRule>
    <cfRule type="cellIs" dxfId="46" priority="9" stopIfTrue="1" operator="equal">
      <formula>""</formula>
    </cfRule>
  </conditionalFormatting>
  <conditionalFormatting sqref="B43:C66">
    <cfRule type="expression" dxfId="45" priority="7" stopIfTrue="1">
      <formula>$B$5=""</formula>
    </cfRule>
  </conditionalFormatting>
  <conditionalFormatting sqref="B5:D5">
    <cfRule type="containsBlanks" dxfId="44" priority="2">
      <formula>LEN(TRIM(B5))=0</formula>
    </cfRule>
  </conditionalFormatting>
  <conditionalFormatting sqref="B7:D7">
    <cfRule type="containsBlanks" dxfId="43" priority="1">
      <formula>LEN(TRIM(B7))=0</formula>
    </cfRule>
  </conditionalFormatting>
  <conditionalFormatting sqref="C21:D29 D30:D61">
    <cfRule type="expression" dxfId="42" priority="11" stopIfTrue="1">
      <formula>$C$5=""</formula>
    </cfRule>
  </conditionalFormatting>
  <conditionalFormatting sqref="E21:F61">
    <cfRule type="expression" dxfId="41" priority="10" stopIfTrue="1">
      <formula>$D$5=""</formula>
    </cfRule>
  </conditionalFormatting>
  <dataValidations count="2">
    <dataValidation type="list" showErrorMessage="1" sqref="B5:D5" xr:uid="{C5C45391-48F7-6243-9313-D0E91FFEE34C}">
      <formula1>BuildingUsageTypes</formula1>
    </dataValidation>
    <dataValidation type="list" allowBlank="1" showErrorMessage="1" sqref="B6:D6" xr:uid="{95622568-6E66-6545-B498-EBBC9F4A4BBD}">
      <formula1>IF(B5="Hotel",HotelType,IF(B5="Restaurant",RestaurantType,IF(B5="Verkauf",ShopType,BuildingUsageSubTypes)))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3E0-FB5F-B94A-B70E-9CE2683D5FAA}"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2.6640625" style="69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2" style="1" customWidth="1"/>
    <col min="16" max="16" width="20.83203125" style="1" customWidth="1"/>
    <col min="17" max="17" width="13.1640625" style="1" customWidth="1"/>
    <col min="18" max="16384" width="9.1640625" style="1"/>
  </cols>
  <sheetData>
    <row r="1" spans="1:17" ht="15" customHeight="1" thickBot="1" x14ac:dyDescent="0.2">
      <c r="A1" s="94" t="s">
        <v>102</v>
      </c>
      <c r="B1" s="75"/>
      <c r="C1" s="75"/>
      <c r="D1" s="75"/>
      <c r="E1" s="75"/>
      <c r="F1" s="75"/>
      <c r="G1" s="75"/>
      <c r="H1" s="75"/>
      <c r="I1" s="75"/>
      <c r="J1" s="75"/>
      <c r="K1" s="131"/>
      <c r="L1" s="131"/>
      <c r="M1" s="131"/>
      <c r="N1" s="131"/>
      <c r="O1" s="131"/>
      <c r="P1" s="131"/>
      <c r="Q1" s="131"/>
    </row>
    <row r="2" spans="1:17" ht="15" customHeight="1" x14ac:dyDescent="0.15">
      <c r="D2" s="3"/>
      <c r="E2" s="68"/>
      <c r="F2" s="19"/>
      <c r="G2" s="19"/>
      <c r="H2" s="19"/>
      <c r="I2" s="3"/>
    </row>
    <row r="3" spans="1:17" ht="15" customHeight="1" x14ac:dyDescent="0.15">
      <c r="A3" s="132" t="s">
        <v>103</v>
      </c>
      <c r="B3" s="133"/>
      <c r="C3" s="134"/>
      <c r="D3" s="135"/>
      <c r="E3" s="135"/>
      <c r="F3" s="136"/>
      <c r="G3" s="19"/>
      <c r="H3" s="19"/>
      <c r="I3" s="3"/>
    </row>
    <row r="4" spans="1:17" ht="15" customHeight="1" x14ac:dyDescent="0.15">
      <c r="C4" s="137" t="s">
        <v>104</v>
      </c>
      <c r="D4" s="138"/>
      <c r="E4" s="138"/>
      <c r="F4" s="138"/>
      <c r="G4" s="19"/>
      <c r="H4" s="143" t="s">
        <v>105</v>
      </c>
      <c r="I4" s="144"/>
      <c r="J4" s="144"/>
      <c r="K4" s="144"/>
    </row>
    <row r="5" spans="1:17" ht="33" customHeight="1" x14ac:dyDescent="0.15">
      <c r="A5" s="139" t="s">
        <v>342</v>
      </c>
      <c r="B5" s="140"/>
      <c r="C5" s="141"/>
      <c r="D5" s="141"/>
      <c r="E5" s="141"/>
      <c r="F5" s="141"/>
      <c r="G5" s="31"/>
      <c r="H5" s="142"/>
      <c r="I5" s="142"/>
      <c r="J5" s="142"/>
      <c r="K5" s="142"/>
    </row>
    <row r="6" spans="1:17" ht="15" customHeight="1" x14ac:dyDescent="0.15">
      <c r="A6" s="132" t="s">
        <v>193</v>
      </c>
      <c r="B6" s="147"/>
      <c r="C6" s="141"/>
      <c r="D6" s="141"/>
      <c r="E6" s="141"/>
      <c r="F6" s="141"/>
      <c r="G6" s="31"/>
      <c r="H6" s="142"/>
      <c r="I6" s="142"/>
      <c r="J6" s="142"/>
      <c r="K6" s="142"/>
    </row>
    <row r="7" spans="1:17" ht="62.25" customHeight="1" x14ac:dyDescent="0.15">
      <c r="A7" s="145" t="s">
        <v>18</v>
      </c>
      <c r="B7" s="146"/>
      <c r="C7" s="141"/>
      <c r="D7" s="141"/>
      <c r="E7" s="141"/>
      <c r="F7" s="141"/>
      <c r="G7" s="31"/>
      <c r="H7" s="142"/>
      <c r="I7" s="142"/>
      <c r="J7" s="142"/>
      <c r="K7" s="142"/>
    </row>
    <row r="8" spans="1:17" ht="62.25" customHeight="1" x14ac:dyDescent="0.15">
      <c r="A8" s="145" t="s">
        <v>91</v>
      </c>
      <c r="B8" s="146"/>
      <c r="C8" s="141"/>
      <c r="D8" s="141"/>
      <c r="E8" s="141"/>
      <c r="F8" s="141"/>
      <c r="G8" s="31"/>
      <c r="H8" s="142"/>
      <c r="I8" s="142"/>
      <c r="J8" s="142"/>
      <c r="K8" s="142"/>
    </row>
    <row r="9" spans="1:17" ht="34.5" customHeight="1" x14ac:dyDescent="0.15">
      <c r="D9" s="3"/>
      <c r="E9" s="68"/>
      <c r="F9" s="19"/>
      <c r="G9" s="19"/>
      <c r="H9" s="19"/>
      <c r="I9" s="3"/>
    </row>
    <row r="10" spans="1:17" ht="34.5" customHeight="1" x14ac:dyDescent="0.15">
      <c r="A10" s="95" t="s">
        <v>16</v>
      </c>
      <c r="B10" s="95" t="s">
        <v>27</v>
      </c>
      <c r="C10" s="95" t="s">
        <v>21</v>
      </c>
      <c r="D10" s="95" t="s">
        <v>19</v>
      </c>
      <c r="E10" s="96" t="s">
        <v>348</v>
      </c>
      <c r="F10" s="95" t="s">
        <v>162</v>
      </c>
      <c r="G10" s="95" t="s">
        <v>349</v>
      </c>
      <c r="H10" s="95" t="s">
        <v>120</v>
      </c>
      <c r="I10" s="95" t="s">
        <v>119</v>
      </c>
      <c r="J10" s="95" t="s">
        <v>96</v>
      </c>
      <c r="K10" s="97" t="s">
        <v>350</v>
      </c>
      <c r="L10" s="95" t="s">
        <v>351</v>
      </c>
      <c r="M10" s="95" t="s">
        <v>99</v>
      </c>
      <c r="N10" s="95" t="s">
        <v>204</v>
      </c>
      <c r="O10" s="95" t="s">
        <v>205</v>
      </c>
      <c r="P10" s="95" t="s">
        <v>196</v>
      </c>
      <c r="Q10" s="95" t="s">
        <v>197</v>
      </c>
    </row>
    <row r="11" spans="1:17" ht="15" customHeight="1" x14ac:dyDescent="0.15">
      <c r="D11" s="3"/>
      <c r="F11" s="4"/>
      <c r="G11" s="19"/>
      <c r="H11" s="19"/>
      <c r="I11" s="3"/>
    </row>
    <row r="12" spans="1:17" ht="15" customHeight="1" x14ac:dyDescent="0.15">
      <c r="D12" s="3"/>
      <c r="F12" s="4"/>
      <c r="G12" s="19"/>
      <c r="H12" s="19"/>
      <c r="I12" s="3"/>
    </row>
    <row r="13" spans="1:17" ht="15" customHeight="1" x14ac:dyDescent="0.15">
      <c r="D13" s="3"/>
      <c r="F13" s="4"/>
      <c r="G13" s="19"/>
      <c r="H13" s="19"/>
      <c r="I13" s="3"/>
    </row>
    <row r="14" spans="1:17" ht="15" customHeight="1" x14ac:dyDescent="0.15">
      <c r="D14" s="3"/>
      <c r="F14" s="4"/>
      <c r="G14" s="19"/>
      <c r="H14" s="19"/>
      <c r="I14" s="3"/>
    </row>
    <row r="15" spans="1:17" ht="15" customHeight="1" x14ac:dyDescent="0.15">
      <c r="D15" s="3"/>
      <c r="F15" s="4"/>
      <c r="G15" s="19"/>
      <c r="H15" s="19"/>
      <c r="I15" s="3"/>
    </row>
    <row r="16" spans="1:17" ht="15" customHeight="1" x14ac:dyDescent="0.15">
      <c r="D16" s="3"/>
      <c r="F16" s="4"/>
      <c r="G16" s="19"/>
      <c r="H16" s="19"/>
      <c r="I16" s="3"/>
    </row>
    <row r="17" spans="4:9" ht="15" customHeight="1" x14ac:dyDescent="0.15">
      <c r="D17" s="3"/>
      <c r="F17" s="4"/>
      <c r="G17" s="19"/>
      <c r="H17" s="19"/>
      <c r="I17" s="3"/>
    </row>
    <row r="18" spans="4:9" ht="15" customHeight="1" x14ac:dyDescent="0.15">
      <c r="D18" s="3"/>
      <c r="F18" s="4"/>
      <c r="G18" s="19"/>
      <c r="H18" s="19"/>
      <c r="I18" s="3"/>
    </row>
    <row r="19" spans="4:9" ht="15" customHeight="1" x14ac:dyDescent="0.15">
      <c r="D19" s="3"/>
      <c r="F19" s="4"/>
      <c r="G19" s="19"/>
      <c r="H19" s="19"/>
      <c r="I19" s="3"/>
    </row>
    <row r="20" spans="4:9" ht="15" customHeight="1" x14ac:dyDescent="0.15">
      <c r="D20" s="3"/>
      <c r="F20" s="4"/>
      <c r="G20" s="19"/>
      <c r="H20" s="19"/>
      <c r="I20" s="3"/>
    </row>
    <row r="21" spans="4:9" ht="15" customHeight="1" x14ac:dyDescent="0.15">
      <c r="D21" s="3"/>
      <c r="F21" s="4"/>
      <c r="G21" s="19"/>
      <c r="H21" s="19"/>
      <c r="I21" s="3"/>
    </row>
    <row r="22" spans="4:9" ht="15" customHeight="1" x14ac:dyDescent="0.15">
      <c r="D22" s="3"/>
      <c r="F22" s="4"/>
      <c r="G22" s="19"/>
      <c r="H22" s="19"/>
      <c r="I22" s="3"/>
    </row>
    <row r="23" spans="4:9" ht="15" customHeight="1" x14ac:dyDescent="0.15">
      <c r="D23" s="3"/>
      <c r="F23" s="4"/>
      <c r="G23" s="19"/>
      <c r="H23" s="19"/>
      <c r="I23" s="3"/>
    </row>
    <row r="24" spans="4:9" ht="15" customHeight="1" x14ac:dyDescent="0.15">
      <c r="D24" s="3"/>
      <c r="F24" s="4"/>
      <c r="G24" s="19"/>
      <c r="H24" s="19"/>
      <c r="I24" s="3"/>
    </row>
  </sheetData>
  <mergeCells count="17">
    <mergeCell ref="A8:B8"/>
    <mergeCell ref="C8:F8"/>
    <mergeCell ref="H8:K8"/>
    <mergeCell ref="A6:B6"/>
    <mergeCell ref="C6:F6"/>
    <mergeCell ref="H6:K6"/>
    <mergeCell ref="A7:B7"/>
    <mergeCell ref="C7:F7"/>
    <mergeCell ref="H7:K7"/>
    <mergeCell ref="K1:Q1"/>
    <mergeCell ref="A3:B3"/>
    <mergeCell ref="C3:F3"/>
    <mergeCell ref="C4:F4"/>
    <mergeCell ref="A5:B5"/>
    <mergeCell ref="C5:F5"/>
    <mergeCell ref="H5:K5"/>
    <mergeCell ref="H4:K4"/>
  </mergeCells>
  <conditionalFormatting sqref="A11:D110 F11:I110">
    <cfRule type="expression" dxfId="40" priority="1">
      <formula>AND(COUNTA($A11:$Q11)&gt;0,ISBLANK(A11))</formula>
    </cfRule>
  </conditionalFormatting>
  <conditionalFormatting sqref="C3:C5">
    <cfRule type="containsBlanks" dxfId="39" priority="4">
      <formula>LEN(TRIM(C3))=0</formula>
    </cfRule>
  </conditionalFormatting>
  <conditionalFormatting sqref="H4:H5">
    <cfRule type="containsBlanks" dxfId="38" priority="3">
      <formula>LEN(TRIM(H4))=0</formula>
    </cfRule>
  </conditionalFormatting>
  <dataValidations count="10">
    <dataValidation type="list" showErrorMessage="1" sqref="C3" xr:uid="{230277C1-11EC-0C46-B745-5971E76A8B17}">
      <formula1>RoofType</formula1>
    </dataValidation>
    <dataValidation type="list" showErrorMessage="1" sqref="C5 H5" xr:uid="{62A0C267-A656-3948-BFB0-9F8388CD3E5C}">
      <formula1>GeneralCondition</formula1>
    </dataValidation>
    <dataValidation type="list" allowBlank="1" showErrorMessage="1" sqref="C6 H6" xr:uid="{29C18EAF-85FB-FA41-96B3-3442F05FDF2B}">
      <formula1>Prioritization</formula1>
    </dataValidation>
    <dataValidation type="textLength" operator="lessThanOrEqual" allowBlank="1" showInputMessage="1" showErrorMessage="1" prompt="Max. 1000 Zeichen." sqref="C7:C8 H7:H8" xr:uid="{98034E43-DFBC-0C4D-9D90-E686A17AF1E6}">
      <formula1>1000</formula1>
    </dataValidation>
    <dataValidation type="list" showInputMessage="1" prompt="Max. 5 Zeichen." sqref="A11:A110" xr:uid="{53420C9A-C2C5-1345-83DF-F6C58931B8C4}">
      <formula1>WS2ExpertCodes</formula1>
    </dataValidation>
    <dataValidation type="list" showInputMessage="1" showErrorMessage="1" prompt="Max. 5 Zeichen." sqref="J11:J110" xr:uid="{DEA3F9C8-B9E8-A24D-B767-AF37C1371FAD}">
      <formula1>HeaterExpertCodes</formula1>
    </dataValidation>
    <dataValidation type="list" showErrorMessage="1" sqref="C11:C110" xr:uid="{63AED967-0095-3A43-84AC-4007D6428B9B}">
      <formula1>RoofCeilingType</formula1>
    </dataValidation>
    <dataValidation type="list" showErrorMessage="1" sqref="D11:D110" xr:uid="{69837522-7298-F741-A59D-69EBC10A64E6}">
      <formula1>OrientationHExtended</formula1>
    </dataValidation>
    <dataValidation type="list" allowBlank="1" showErrorMessage="1" sqref="P11:P110" xr:uid="{B183D6A7-1714-B348-AE51-DAB2F2BF7EE0}">
      <formula1>CalculationBase_NoMeter</formula1>
    </dataValidation>
    <dataValidation type="textLength" operator="lessThanOrEqual" allowBlank="1" showInputMessage="1" showErrorMessage="1" prompt="Max. 250 Zeichen." sqref="B11:B111" xr:uid="{080752E6-A93A-884E-BD34-AA12F15FB70B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0A76-0BAB-B743-BF23-4AE624D76D03}">
  <sheetPr codeName="Sheet2"/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2.6640625" style="68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1.33203125" style="1" customWidth="1"/>
    <col min="16" max="16" width="20.5" style="1" customWidth="1"/>
    <col min="17" max="17" width="13.6640625" style="1" customWidth="1"/>
    <col min="18" max="16384" width="9.1640625" style="1"/>
  </cols>
  <sheetData>
    <row r="1" spans="1:17" ht="15" customHeight="1" thickBot="1" x14ac:dyDescent="0.2">
      <c r="A1" s="94" t="s">
        <v>87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3"/>
      <c r="M1" s="73"/>
      <c r="N1" s="73"/>
      <c r="O1" s="73"/>
      <c r="P1" s="73"/>
      <c r="Q1" s="73"/>
    </row>
    <row r="2" spans="1:17" ht="15" customHeight="1" x14ac:dyDescent="0.15">
      <c r="D2" s="3"/>
      <c r="F2" s="19"/>
      <c r="G2" s="19"/>
      <c r="H2" s="19"/>
      <c r="I2" s="3"/>
    </row>
    <row r="3" spans="1:17" ht="15" customHeight="1" x14ac:dyDescent="0.15">
      <c r="A3" s="132" t="s">
        <v>12</v>
      </c>
      <c r="B3" s="133"/>
      <c r="C3" s="134"/>
      <c r="D3" s="135"/>
      <c r="E3" s="135"/>
      <c r="F3" s="136"/>
      <c r="G3" s="19"/>
      <c r="H3" s="19"/>
      <c r="I3" s="3"/>
    </row>
    <row r="4" spans="1:17" ht="15" customHeight="1" x14ac:dyDescent="0.15">
      <c r="C4" s="137" t="s">
        <v>88</v>
      </c>
      <c r="D4" s="138"/>
      <c r="E4" s="138"/>
      <c r="F4" s="138"/>
      <c r="G4" s="19"/>
      <c r="H4" s="143" t="s">
        <v>89</v>
      </c>
      <c r="I4" s="144"/>
      <c r="J4" s="144"/>
      <c r="K4" s="144"/>
    </row>
    <row r="5" spans="1:17" ht="33" customHeight="1" x14ac:dyDescent="0.15">
      <c r="A5" s="139" t="s">
        <v>342</v>
      </c>
      <c r="B5" s="140"/>
      <c r="C5" s="141"/>
      <c r="D5" s="141"/>
      <c r="E5" s="141"/>
      <c r="F5" s="141"/>
      <c r="G5" s="31"/>
      <c r="H5" s="148"/>
      <c r="I5" s="149"/>
      <c r="J5" s="149"/>
      <c r="K5" s="150"/>
    </row>
    <row r="6" spans="1:17" ht="15" customHeight="1" x14ac:dyDescent="0.15">
      <c r="A6" s="132" t="s">
        <v>193</v>
      </c>
      <c r="B6" s="147"/>
      <c r="C6" s="141"/>
      <c r="D6" s="141"/>
      <c r="E6" s="141"/>
      <c r="F6" s="141"/>
      <c r="G6" s="31"/>
      <c r="H6" s="148"/>
      <c r="I6" s="149"/>
      <c r="J6" s="149"/>
      <c r="K6" s="150"/>
    </row>
    <row r="7" spans="1:17" ht="62.25" customHeight="1" x14ac:dyDescent="0.15">
      <c r="A7" s="145" t="s">
        <v>18</v>
      </c>
      <c r="B7" s="151"/>
      <c r="C7" s="141"/>
      <c r="D7" s="141"/>
      <c r="E7" s="141"/>
      <c r="F7" s="141"/>
      <c r="G7" s="31"/>
      <c r="H7" s="148"/>
      <c r="I7" s="149"/>
      <c r="J7" s="149"/>
      <c r="K7" s="150"/>
    </row>
    <row r="8" spans="1:17" ht="62.25" customHeight="1" x14ac:dyDescent="0.15">
      <c r="A8" s="145" t="s">
        <v>91</v>
      </c>
      <c r="B8" s="146"/>
      <c r="C8" s="141"/>
      <c r="D8" s="141"/>
      <c r="E8" s="141"/>
      <c r="F8" s="141"/>
      <c r="G8" s="31"/>
      <c r="H8" s="148"/>
      <c r="I8" s="149"/>
      <c r="J8" s="149"/>
      <c r="K8" s="150"/>
    </row>
    <row r="9" spans="1:17" ht="25.5" customHeight="1" x14ac:dyDescent="0.15">
      <c r="D9" s="3"/>
      <c r="F9" s="19"/>
      <c r="G9" s="19"/>
      <c r="H9" s="19"/>
      <c r="I9" s="3"/>
    </row>
    <row r="10" spans="1:17" ht="34.5" customHeight="1" x14ac:dyDescent="0.15">
      <c r="A10" s="95" t="s">
        <v>16</v>
      </c>
      <c r="B10" s="95" t="s">
        <v>27</v>
      </c>
      <c r="C10" s="95" t="s">
        <v>21</v>
      </c>
      <c r="D10" s="95" t="s">
        <v>19</v>
      </c>
      <c r="E10" s="96" t="s">
        <v>348</v>
      </c>
      <c r="F10" s="95" t="s">
        <v>162</v>
      </c>
      <c r="G10" s="95" t="s">
        <v>349</v>
      </c>
      <c r="H10" s="95" t="s">
        <v>120</v>
      </c>
      <c r="I10" s="95" t="s">
        <v>119</v>
      </c>
      <c r="J10" s="95" t="s">
        <v>96</v>
      </c>
      <c r="K10" s="97" t="s">
        <v>350</v>
      </c>
      <c r="L10" s="95" t="s">
        <v>351</v>
      </c>
      <c r="M10" s="95" t="s">
        <v>99</v>
      </c>
      <c r="N10" s="95" t="s">
        <v>204</v>
      </c>
      <c r="O10" s="95" t="s">
        <v>205</v>
      </c>
      <c r="P10" s="95" t="s">
        <v>196</v>
      </c>
      <c r="Q10" s="95" t="s">
        <v>197</v>
      </c>
    </row>
    <row r="11" spans="1:17" ht="15" customHeight="1" x14ac:dyDescent="0.15">
      <c r="D11" s="3"/>
      <c r="E11" s="69"/>
      <c r="F11" s="4"/>
      <c r="G11" s="19"/>
      <c r="H11" s="19"/>
      <c r="I11" s="3"/>
    </row>
    <row r="12" spans="1:17" ht="15" customHeight="1" x14ac:dyDescent="0.15">
      <c r="D12" s="3"/>
      <c r="E12" s="69"/>
      <c r="F12" s="4"/>
      <c r="G12" s="19"/>
      <c r="H12" s="19"/>
      <c r="I12" s="3"/>
    </row>
    <row r="13" spans="1:17" ht="15" customHeight="1" x14ac:dyDescent="0.15">
      <c r="D13" s="3"/>
      <c r="E13" s="69"/>
      <c r="F13" s="4"/>
      <c r="G13" s="19"/>
      <c r="H13" s="19"/>
      <c r="I13" s="3"/>
    </row>
    <row r="14" spans="1:17" ht="15" customHeight="1" x14ac:dyDescent="0.15">
      <c r="D14" s="3"/>
      <c r="E14" s="69"/>
      <c r="F14" s="4"/>
      <c r="G14" s="19"/>
      <c r="H14" s="19"/>
      <c r="I14" s="3"/>
    </row>
    <row r="15" spans="1:17" ht="15" customHeight="1" x14ac:dyDescent="0.15">
      <c r="D15" s="3"/>
      <c r="E15" s="69"/>
      <c r="F15" s="4"/>
      <c r="G15" s="19"/>
      <c r="H15" s="19"/>
      <c r="I15" s="3"/>
    </row>
    <row r="16" spans="1:17" ht="15" customHeight="1" x14ac:dyDescent="0.15">
      <c r="D16" s="3"/>
      <c r="E16" s="69"/>
      <c r="F16" s="4"/>
      <c r="G16" s="19"/>
      <c r="H16" s="19"/>
      <c r="I16" s="3"/>
    </row>
    <row r="17" spans="4:9" ht="15" customHeight="1" x14ac:dyDescent="0.15">
      <c r="D17" s="3"/>
      <c r="E17" s="69"/>
      <c r="F17" s="4"/>
      <c r="G17" s="19"/>
      <c r="H17" s="19"/>
      <c r="I17" s="3"/>
    </row>
    <row r="18" spans="4:9" ht="15" customHeight="1" x14ac:dyDescent="0.15">
      <c r="D18" s="3"/>
      <c r="E18" s="69"/>
      <c r="F18" s="4"/>
      <c r="G18" s="19"/>
      <c r="H18" s="19"/>
      <c r="I18" s="3"/>
    </row>
    <row r="19" spans="4:9" ht="15" customHeight="1" x14ac:dyDescent="0.15">
      <c r="D19" s="3"/>
      <c r="E19" s="69"/>
      <c r="F19" s="4"/>
      <c r="G19" s="19"/>
      <c r="H19" s="19"/>
      <c r="I19" s="3"/>
    </row>
    <row r="20" spans="4:9" ht="15" customHeight="1" x14ac:dyDescent="0.15">
      <c r="D20" s="3"/>
      <c r="E20" s="69"/>
      <c r="F20" s="4"/>
      <c r="G20" s="19"/>
      <c r="H20" s="19"/>
      <c r="I20" s="3"/>
    </row>
    <row r="21" spans="4:9" ht="15" customHeight="1" x14ac:dyDescent="0.15">
      <c r="D21" s="3"/>
      <c r="E21" s="69"/>
      <c r="F21" s="4"/>
      <c r="G21" s="19"/>
      <c r="H21" s="19"/>
      <c r="I21" s="3"/>
    </row>
    <row r="22" spans="4:9" ht="15" customHeight="1" x14ac:dyDescent="0.15">
      <c r="D22" s="3"/>
      <c r="E22" s="69"/>
      <c r="F22" s="4"/>
      <c r="G22" s="19"/>
      <c r="H22" s="19"/>
      <c r="I22" s="3"/>
    </row>
    <row r="23" spans="4:9" ht="15" customHeight="1" x14ac:dyDescent="0.15">
      <c r="D23" s="3"/>
      <c r="E23" s="69"/>
      <c r="F23" s="4"/>
      <c r="G23" s="19"/>
      <c r="H23" s="19"/>
      <c r="I23" s="3"/>
    </row>
    <row r="24" spans="4:9" ht="15" customHeight="1" x14ac:dyDescent="0.15">
      <c r="D24" s="3"/>
      <c r="E24" s="69"/>
      <c r="F24" s="4"/>
      <c r="G24" s="19"/>
      <c r="H24" s="19"/>
      <c r="I24" s="3"/>
    </row>
  </sheetData>
  <mergeCells count="16">
    <mergeCell ref="A3:B3"/>
    <mergeCell ref="C3:F3"/>
    <mergeCell ref="C4:F4"/>
    <mergeCell ref="C5:F5"/>
    <mergeCell ref="C6:F6"/>
    <mergeCell ref="C7:F7"/>
    <mergeCell ref="C8:F8"/>
    <mergeCell ref="A5:B5"/>
    <mergeCell ref="A6:B6"/>
    <mergeCell ref="A7:B7"/>
    <mergeCell ref="A8:B8"/>
    <mergeCell ref="H5:K5"/>
    <mergeCell ref="H6:K6"/>
    <mergeCell ref="H4:K4"/>
    <mergeCell ref="H7:K7"/>
    <mergeCell ref="H8:K8"/>
  </mergeCells>
  <conditionalFormatting sqref="A11:D110 F11:I110">
    <cfRule type="expression" dxfId="37" priority="1">
      <formula>AND(COUNTA($A11:$Q11)&gt;0,ISBLANK(A11))</formula>
    </cfRule>
  </conditionalFormatting>
  <conditionalFormatting sqref="C3:C5">
    <cfRule type="containsBlanks" dxfId="36" priority="4">
      <formula>LEN(TRIM(C3))=0</formula>
    </cfRule>
  </conditionalFormatting>
  <conditionalFormatting sqref="H4:H5">
    <cfRule type="containsBlanks" dxfId="35" priority="3">
      <formula>LEN(TRIM(H4))=0</formula>
    </cfRule>
  </conditionalFormatting>
  <dataValidations count="10">
    <dataValidation type="list" showErrorMessage="1" sqref="C3" xr:uid="{6E1D7709-D724-1E45-B22C-920A082D309F}">
      <formula1>FacadeStructure</formula1>
    </dataValidation>
    <dataValidation type="list" showErrorMessage="1" sqref="C5 H5" xr:uid="{E90A54CA-C58E-7843-A6AD-2088C99F397B}">
      <formula1>GeneralCondition</formula1>
    </dataValidation>
    <dataValidation type="list" allowBlank="1" showErrorMessage="1" sqref="C6 H6" xr:uid="{427782F9-D0A2-1F4F-8012-9CF410BC365B}">
      <formula1>Prioritization</formula1>
    </dataValidation>
    <dataValidation type="textLength" operator="lessThanOrEqual" allowBlank="1" showInputMessage="1" showErrorMessage="1" prompt="Max. 1000 Zeichen." sqref="C7:C8 H7:H8" xr:uid="{BECD3F86-D810-4E41-882A-14E731D84C5D}">
      <formula1>1000</formula1>
    </dataValidation>
    <dataValidation type="list" showInputMessage="1" prompt="Max. 5 Zeichen." sqref="A11:A110" xr:uid="{660BFBF7-6E93-3F40-8D2A-B33D2A78C29F}">
      <formula1>WS3ExpertCodes</formula1>
    </dataValidation>
    <dataValidation type="list" showInputMessage="1" showErrorMessage="1" prompt="Max. 5 Zeichen." sqref="J11:J110" xr:uid="{29BA4C8E-36D5-9F45-889A-29D074B4415E}">
      <formula1>HeaterExpertCodes</formula1>
    </dataValidation>
    <dataValidation type="textLength" operator="lessThanOrEqual" allowBlank="1" showInputMessage="1" showErrorMessage="1" prompt="Max. 250 Zeichen." sqref="B11:B111" xr:uid="{603165AC-357E-5644-81F1-88268E0C1B9D}">
      <formula1>250</formula1>
    </dataValidation>
    <dataValidation type="list" showErrorMessage="1" sqref="C11:C110" xr:uid="{C4DFC381-1622-5947-9ECF-D6D6ED5904EB}">
      <formula1>WallType</formula1>
    </dataValidation>
    <dataValidation type="list" allowBlank="1" showErrorMessage="1" sqref="D11:D110" xr:uid="{21C02C39-59A2-CD4F-B383-5C8FBA96CEAB}">
      <formula1>Orientation</formula1>
    </dataValidation>
    <dataValidation type="list" allowBlank="1" showErrorMessage="1" sqref="P11:P110" xr:uid="{5EC51F16-0CFB-9A4C-A3F3-C6070466D099}">
      <formula1>CalculationBase_NoMeter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3AAB-F66E-AB47-B738-20BA0F02667B}">
  <dimension ref="A1:T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3" width="18.6640625" style="1" customWidth="1"/>
    <col min="4" max="4" width="11" style="1" customWidth="1"/>
    <col min="5" max="5" width="15.33203125" style="1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1.83203125" style="1" customWidth="1"/>
    <col min="11" max="11" width="15.1640625" style="1" customWidth="1"/>
    <col min="12" max="12" width="15" style="1" customWidth="1"/>
    <col min="13" max="14" width="14.33203125" style="1" customWidth="1"/>
    <col min="15" max="17" width="16.6640625" style="1" customWidth="1"/>
    <col min="18" max="18" width="11" style="1" customWidth="1"/>
    <col min="19" max="19" width="21" style="1" customWidth="1"/>
    <col min="20" max="20" width="14" style="1" customWidth="1"/>
    <col min="21" max="16384" width="9.1640625" style="1"/>
  </cols>
  <sheetData>
    <row r="1" spans="1:20" ht="15" customHeight="1" thickBot="1" x14ac:dyDescent="0.2">
      <c r="A1" s="94" t="s">
        <v>106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ht="15" customHeight="1" x14ac:dyDescent="0.15">
      <c r="D2" s="3"/>
      <c r="E2" s="3"/>
      <c r="F2" s="19"/>
      <c r="G2" s="19"/>
      <c r="H2" s="19"/>
      <c r="I2" s="3"/>
    </row>
    <row r="3" spans="1:20" ht="33" customHeight="1" x14ac:dyDescent="0.15">
      <c r="A3" s="139" t="s">
        <v>342</v>
      </c>
      <c r="B3" s="140"/>
      <c r="C3" s="141"/>
      <c r="D3" s="141"/>
      <c r="E3" s="141"/>
      <c r="F3" s="141"/>
      <c r="G3" s="19"/>
    </row>
    <row r="4" spans="1:20" ht="15" customHeight="1" x14ac:dyDescent="0.15">
      <c r="A4" s="132" t="s">
        <v>193</v>
      </c>
      <c r="B4" s="147"/>
      <c r="C4" s="141"/>
      <c r="D4" s="141"/>
      <c r="E4" s="141"/>
      <c r="F4" s="141"/>
      <c r="G4" s="19"/>
    </row>
    <row r="5" spans="1:20" ht="62.25" customHeight="1" x14ac:dyDescent="0.15">
      <c r="A5" s="145" t="s">
        <v>18</v>
      </c>
      <c r="B5" s="146"/>
      <c r="C5" s="141"/>
      <c r="D5" s="141"/>
      <c r="E5" s="141"/>
      <c r="F5" s="141"/>
      <c r="G5" s="19"/>
    </row>
    <row r="6" spans="1:20" ht="62.25" customHeight="1" x14ac:dyDescent="0.15">
      <c r="A6" s="145" t="s">
        <v>91</v>
      </c>
      <c r="B6" s="146"/>
      <c r="C6" s="141"/>
      <c r="D6" s="141"/>
      <c r="E6" s="141"/>
      <c r="F6" s="141"/>
      <c r="G6" s="19"/>
    </row>
    <row r="7" spans="1:20" ht="15" customHeight="1" x14ac:dyDescent="0.15">
      <c r="A7" s="132" t="s">
        <v>52</v>
      </c>
      <c r="B7" s="152"/>
      <c r="C7" s="29"/>
      <c r="D7" s="29"/>
      <c r="E7" s="29"/>
      <c r="F7" s="29"/>
      <c r="G7" s="19"/>
      <c r="H7" s="30"/>
      <c r="I7" s="30"/>
      <c r="J7" s="30"/>
      <c r="K7" s="30"/>
    </row>
    <row r="8" spans="1:20" ht="58.5" customHeight="1" x14ac:dyDescent="0.15">
      <c r="D8" s="3"/>
      <c r="E8" s="3"/>
      <c r="F8" s="19"/>
      <c r="G8" s="19"/>
      <c r="H8" s="19"/>
      <c r="I8" s="3"/>
    </row>
    <row r="9" spans="1:20" ht="34.5" customHeight="1" x14ac:dyDescent="0.15">
      <c r="A9" s="95" t="s">
        <v>16</v>
      </c>
      <c r="B9" s="95" t="s">
        <v>27</v>
      </c>
      <c r="C9" s="95" t="s">
        <v>21</v>
      </c>
      <c r="D9" s="95" t="s">
        <v>19</v>
      </c>
      <c r="E9" s="96" t="s">
        <v>348</v>
      </c>
      <c r="F9" s="95" t="s">
        <v>162</v>
      </c>
      <c r="G9" s="95" t="s">
        <v>349</v>
      </c>
      <c r="H9" s="95" t="s">
        <v>107</v>
      </c>
      <c r="I9" s="95" t="s">
        <v>120</v>
      </c>
      <c r="J9" s="95" t="s">
        <v>108</v>
      </c>
      <c r="K9" s="95" t="s">
        <v>109</v>
      </c>
      <c r="L9" s="95" t="s">
        <v>119</v>
      </c>
      <c r="M9" s="95" t="s">
        <v>111</v>
      </c>
      <c r="N9" s="95" t="s">
        <v>96</v>
      </c>
      <c r="O9" s="98" t="s">
        <v>350</v>
      </c>
      <c r="P9" s="98" t="s">
        <v>351</v>
      </c>
      <c r="Q9" s="95" t="s">
        <v>204</v>
      </c>
      <c r="R9" s="95" t="s">
        <v>205</v>
      </c>
      <c r="S9" s="95" t="s">
        <v>196</v>
      </c>
      <c r="T9" s="95" t="s">
        <v>197</v>
      </c>
    </row>
    <row r="10" spans="1:20" ht="15" customHeight="1" x14ac:dyDescent="0.15">
      <c r="D10" s="3"/>
      <c r="E10" s="69"/>
      <c r="F10" s="4"/>
      <c r="G10" s="19"/>
      <c r="H10" s="19"/>
      <c r="I10" s="3"/>
    </row>
    <row r="11" spans="1:20" ht="15" customHeight="1" x14ac:dyDescent="0.15">
      <c r="D11" s="3"/>
      <c r="E11" s="69"/>
      <c r="F11" s="4"/>
      <c r="G11" s="19"/>
      <c r="H11" s="19"/>
      <c r="I11" s="3"/>
    </row>
    <row r="12" spans="1:20" ht="15" customHeight="1" x14ac:dyDescent="0.15">
      <c r="D12" s="3"/>
      <c r="E12" s="69"/>
      <c r="F12" s="4"/>
      <c r="G12" s="19"/>
      <c r="H12" s="19"/>
      <c r="I12" s="3"/>
    </row>
    <row r="13" spans="1:20" ht="15" customHeight="1" x14ac:dyDescent="0.15">
      <c r="D13" s="3"/>
      <c r="E13" s="69"/>
      <c r="F13" s="4"/>
      <c r="G13" s="19"/>
      <c r="H13" s="19"/>
      <c r="I13" s="3"/>
    </row>
    <row r="14" spans="1:20" ht="15" customHeight="1" x14ac:dyDescent="0.15">
      <c r="D14" s="3"/>
      <c r="E14" s="69"/>
      <c r="F14" s="4"/>
      <c r="G14" s="19"/>
      <c r="H14" s="19"/>
      <c r="I14" s="3"/>
    </row>
    <row r="15" spans="1:20" ht="15" customHeight="1" x14ac:dyDescent="0.15">
      <c r="D15" s="3"/>
      <c r="E15" s="69"/>
      <c r="F15" s="4"/>
      <c r="G15" s="19"/>
      <c r="H15" s="19"/>
      <c r="I15" s="3"/>
    </row>
    <row r="16" spans="1:20" ht="15" customHeight="1" x14ac:dyDescent="0.15">
      <c r="D16" s="3"/>
      <c r="E16" s="69"/>
      <c r="F16" s="4"/>
      <c r="G16" s="19"/>
      <c r="H16" s="19"/>
      <c r="I16" s="3"/>
    </row>
    <row r="17" spans="4:9" ht="15" customHeight="1" x14ac:dyDescent="0.15">
      <c r="D17" s="3"/>
      <c r="E17" s="69"/>
      <c r="F17" s="4"/>
      <c r="G17" s="19"/>
      <c r="H17" s="19"/>
      <c r="I17" s="3"/>
    </row>
    <row r="18" spans="4:9" ht="15" customHeight="1" x14ac:dyDescent="0.15">
      <c r="D18" s="3"/>
      <c r="E18" s="69"/>
      <c r="F18" s="4"/>
      <c r="G18" s="19"/>
      <c r="H18" s="19"/>
      <c r="I18" s="3"/>
    </row>
    <row r="19" spans="4:9" ht="15" customHeight="1" x14ac:dyDescent="0.15">
      <c r="D19" s="3"/>
      <c r="E19" s="69"/>
      <c r="F19" s="4"/>
      <c r="G19" s="19"/>
      <c r="H19" s="19"/>
      <c r="I19" s="3"/>
    </row>
    <row r="20" spans="4:9" ht="15" customHeight="1" x14ac:dyDescent="0.15">
      <c r="D20" s="3"/>
      <c r="E20" s="69"/>
      <c r="F20" s="4"/>
      <c r="G20" s="19"/>
      <c r="H20" s="19"/>
      <c r="I20" s="3"/>
    </row>
    <row r="21" spans="4:9" ht="15" customHeight="1" x14ac:dyDescent="0.15">
      <c r="D21" s="3"/>
      <c r="E21" s="69"/>
      <c r="F21" s="4"/>
      <c r="G21" s="19"/>
      <c r="H21" s="19"/>
      <c r="I21" s="3"/>
    </row>
    <row r="22" spans="4:9" ht="15" customHeight="1" x14ac:dyDescent="0.15">
      <c r="D22" s="3"/>
      <c r="E22" s="69"/>
      <c r="F22" s="4"/>
      <c r="G22" s="19"/>
      <c r="H22" s="19"/>
      <c r="I22" s="3"/>
    </row>
    <row r="23" spans="4:9" ht="15" customHeight="1" x14ac:dyDescent="0.15">
      <c r="D23" s="3"/>
      <c r="E23" s="69"/>
      <c r="F23" s="4"/>
      <c r="G23" s="19"/>
      <c r="H23" s="19"/>
      <c r="I23" s="3"/>
    </row>
    <row r="24" spans="4:9" ht="15" customHeight="1" x14ac:dyDescent="0.15">
      <c r="D24" s="3"/>
      <c r="E24" s="69"/>
      <c r="F24" s="4"/>
      <c r="G24" s="19"/>
      <c r="H24" s="19"/>
      <c r="I24" s="3"/>
    </row>
  </sheetData>
  <mergeCells count="9">
    <mergeCell ref="A3:B3"/>
    <mergeCell ref="C3:F3"/>
    <mergeCell ref="A6:B6"/>
    <mergeCell ref="C6:F6"/>
    <mergeCell ref="A7:B7"/>
    <mergeCell ref="A4:B4"/>
    <mergeCell ref="C4:F4"/>
    <mergeCell ref="A5:B5"/>
    <mergeCell ref="C5:F5"/>
  </mergeCells>
  <conditionalFormatting sqref="A10:D109 F10:M109">
    <cfRule type="expression" dxfId="34" priority="1">
      <formula>AND(COUNTA($A10:$T10)&gt;0,ISBLANK(A10))</formula>
    </cfRule>
  </conditionalFormatting>
  <conditionalFormatting sqref="C3">
    <cfRule type="containsBlanks" dxfId="33" priority="3">
      <formula>LEN(TRIM(C3))=0</formula>
    </cfRule>
  </conditionalFormatting>
  <conditionalFormatting sqref="C7">
    <cfRule type="containsBlanks" dxfId="32" priority="2">
      <formula>LEN(TRIM(C7))=0</formula>
    </cfRule>
  </conditionalFormatting>
  <dataValidations count="10">
    <dataValidation type="list" showErrorMessage="1" sqref="C3" xr:uid="{9A34FD67-85D5-7646-A940-856A18400E29}">
      <formula1>GeneralCondition</formula1>
    </dataValidation>
    <dataValidation type="list" allowBlank="1" showErrorMessage="1" sqref="C4" xr:uid="{D4261EDF-FDE0-7D4E-984E-8BE1A5631B6C}">
      <formula1>Prioritization</formula1>
    </dataValidation>
    <dataValidation type="textLength" operator="lessThanOrEqual" allowBlank="1" showInputMessage="1" showErrorMessage="1" prompt="Max. 1000 Zeichen." sqref="C5:C6" xr:uid="{3B363CCF-41C1-9B4A-97BC-C94F8FC80E42}">
      <formula1>1000</formula1>
    </dataValidation>
    <dataValidation type="list" showInputMessage="1" prompt="Max. 5 Zeichen." sqref="A10:A109" xr:uid="{2D629AF7-5A2E-784E-976E-F89E4FCFCB5E}">
      <formula1>WS4ExpertCodes</formula1>
    </dataValidation>
    <dataValidation type="list" showInputMessage="1" showErrorMessage="1" prompt="Max. 5 Zeichen." sqref="N10:N109" xr:uid="{D13ADFD2-6C3F-5E4B-990E-CC667EABEC5A}">
      <formula1>HeaterExpertCodes</formula1>
    </dataValidation>
    <dataValidation type="list" showErrorMessage="1" sqref="C10:C109" xr:uid="{56566E44-74C6-0A49-8FD1-2846240FE874}">
      <formula1>WallOpeningType</formula1>
    </dataValidation>
    <dataValidation type="list" showErrorMessage="1" sqref="D10:D109" xr:uid="{0427F6B8-A485-9E46-B07D-BA585A85D2C2}">
      <formula1>OrientationH</formula1>
    </dataValidation>
    <dataValidation type="list" allowBlank="1" showErrorMessage="1" sqref="S10:S109" xr:uid="{E495C82F-8B78-EC40-832A-709AF165121A}">
      <formula1>CalculationBase_NoMeter</formula1>
    </dataValidation>
    <dataValidation type="list" showInputMessage="1" showErrorMessage="1" prompt="Max. 5 Zeichen." sqref="M10:M109" xr:uid="{5410564D-95CE-AE49-A8B0-A27C957F51A7}">
      <formula1>WallOpeningParentCodes</formula1>
    </dataValidation>
    <dataValidation type="textLength" operator="lessThanOrEqual" allowBlank="1" showInputMessage="1" showErrorMessage="1" prompt="Max. 250 Zeichen." sqref="B10:B110" xr:uid="{F44529EA-EE94-9D46-96AB-33B4190895A9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28FE-F2B8-C144-B2B6-0AE78E3C1B62}">
  <dimension ref="A1:P18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1.1640625" style="1" customWidth="1"/>
    <col min="9" max="9" width="14.33203125" style="1" customWidth="1"/>
    <col min="10" max="11" width="16.83203125" style="1" customWidth="1"/>
    <col min="12" max="13" width="15" style="1" customWidth="1"/>
    <col min="14" max="14" width="11" style="1" customWidth="1"/>
    <col min="15" max="15" width="22" style="1" customWidth="1"/>
    <col min="16" max="16" width="13.5" style="1" customWidth="1"/>
    <col min="17" max="16384" width="9.1640625" style="1"/>
  </cols>
  <sheetData>
    <row r="1" spans="1:16" ht="15" customHeight="1" thickBot="1" x14ac:dyDescent="0.2">
      <c r="A1" s="94" t="s">
        <v>112</v>
      </c>
      <c r="B1" s="75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6" ht="15" customHeight="1" x14ac:dyDescent="0.15">
      <c r="E2" s="3"/>
      <c r="F2" s="19"/>
      <c r="G2" s="19"/>
      <c r="H2" s="19"/>
      <c r="I2" s="3"/>
    </row>
    <row r="3" spans="1:16" ht="15" customHeight="1" x14ac:dyDescent="0.15">
      <c r="A3" s="132" t="s">
        <v>81</v>
      </c>
      <c r="B3" s="133"/>
      <c r="C3" s="134"/>
      <c r="D3" s="135"/>
      <c r="E3" s="135"/>
      <c r="F3" s="136"/>
      <c r="G3" s="19"/>
      <c r="H3" s="19"/>
      <c r="I3" s="3"/>
    </row>
    <row r="4" spans="1:16" ht="15" customHeight="1" x14ac:dyDescent="0.15">
      <c r="C4" s="137" t="s">
        <v>114</v>
      </c>
      <c r="D4" s="138"/>
      <c r="E4" s="138"/>
      <c r="F4" s="138"/>
      <c r="G4" s="19"/>
      <c r="H4" s="143" t="s">
        <v>113</v>
      </c>
      <c r="I4" s="144"/>
      <c r="J4" s="144"/>
      <c r="K4" s="144"/>
    </row>
    <row r="5" spans="1:16" ht="33" customHeight="1" x14ac:dyDescent="0.15">
      <c r="A5" s="139" t="s">
        <v>342</v>
      </c>
      <c r="B5" s="140"/>
      <c r="C5" s="141"/>
      <c r="D5" s="141"/>
      <c r="E5" s="141"/>
      <c r="F5" s="141"/>
      <c r="G5" s="31"/>
      <c r="H5" s="142"/>
      <c r="I5" s="142"/>
      <c r="J5" s="142"/>
      <c r="K5" s="142"/>
    </row>
    <row r="6" spans="1:16" ht="15" customHeight="1" x14ac:dyDescent="0.15">
      <c r="A6" s="132" t="s">
        <v>193</v>
      </c>
      <c r="B6" s="147"/>
      <c r="C6" s="141"/>
      <c r="D6" s="141"/>
      <c r="E6" s="141"/>
      <c r="F6" s="141"/>
      <c r="G6" s="31"/>
      <c r="H6" s="142"/>
      <c r="I6" s="142"/>
      <c r="J6" s="142"/>
      <c r="K6" s="142"/>
    </row>
    <row r="7" spans="1:16" ht="62.25" customHeight="1" x14ac:dyDescent="0.15">
      <c r="A7" s="145" t="s">
        <v>18</v>
      </c>
      <c r="B7" s="146"/>
      <c r="C7" s="141"/>
      <c r="D7" s="141"/>
      <c r="E7" s="141"/>
      <c r="F7" s="141"/>
      <c r="G7" s="31"/>
      <c r="H7" s="142"/>
      <c r="I7" s="142"/>
      <c r="J7" s="142"/>
      <c r="K7" s="142"/>
    </row>
    <row r="8" spans="1:16" ht="62.25" customHeight="1" x14ac:dyDescent="0.15">
      <c r="A8" s="145" t="s">
        <v>91</v>
      </c>
      <c r="B8" s="146"/>
      <c r="C8" s="141"/>
      <c r="D8" s="141"/>
      <c r="E8" s="141"/>
      <c r="F8" s="141"/>
      <c r="G8" s="31"/>
      <c r="H8" s="142"/>
      <c r="I8" s="142"/>
      <c r="J8" s="142"/>
      <c r="K8" s="142"/>
    </row>
    <row r="9" spans="1:16" ht="21" customHeight="1" x14ac:dyDescent="0.15">
      <c r="E9" s="3"/>
      <c r="F9" s="19"/>
      <c r="G9" s="19"/>
      <c r="H9" s="19"/>
      <c r="I9" s="3"/>
    </row>
    <row r="10" spans="1:16" ht="34.5" customHeight="1" x14ac:dyDescent="0.15">
      <c r="A10" s="95" t="s">
        <v>16</v>
      </c>
      <c r="B10" s="95" t="s">
        <v>27</v>
      </c>
      <c r="C10" s="95" t="s">
        <v>21</v>
      </c>
      <c r="D10" s="96" t="s">
        <v>348</v>
      </c>
      <c r="E10" s="95" t="s">
        <v>162</v>
      </c>
      <c r="F10" s="95" t="s">
        <v>349</v>
      </c>
      <c r="G10" s="95" t="s">
        <v>120</v>
      </c>
      <c r="H10" s="95" t="s">
        <v>119</v>
      </c>
      <c r="I10" s="95" t="s">
        <v>96</v>
      </c>
      <c r="J10" s="99" t="s">
        <v>350</v>
      </c>
      <c r="K10" s="95" t="s">
        <v>351</v>
      </c>
      <c r="L10" s="95" t="s">
        <v>99</v>
      </c>
      <c r="M10" s="95" t="s">
        <v>204</v>
      </c>
      <c r="N10" s="95" t="s">
        <v>205</v>
      </c>
      <c r="O10" s="95" t="s">
        <v>196</v>
      </c>
      <c r="P10" s="95" t="s">
        <v>197</v>
      </c>
    </row>
    <row r="11" spans="1:16" ht="15" customHeight="1" x14ac:dyDescent="0.15">
      <c r="D11" s="69"/>
      <c r="E11" s="4"/>
      <c r="F11" s="19"/>
      <c r="G11" s="19"/>
      <c r="H11" s="19"/>
    </row>
    <row r="12" spans="1:16" ht="15" customHeight="1" x14ac:dyDescent="0.15">
      <c r="D12" s="69"/>
      <c r="E12" s="4"/>
      <c r="F12" s="19"/>
      <c r="G12" s="19"/>
      <c r="H12" s="19"/>
      <c r="I12" s="3"/>
    </row>
    <row r="13" spans="1:16" ht="15" customHeight="1" x14ac:dyDescent="0.15">
      <c r="D13" s="69"/>
      <c r="E13" s="4"/>
      <c r="F13" s="19"/>
      <c r="G13" s="19"/>
      <c r="H13" s="19"/>
      <c r="I13" s="3"/>
    </row>
    <row r="14" spans="1:16" ht="15" customHeight="1" x14ac:dyDescent="0.15">
      <c r="D14" s="69"/>
      <c r="E14" s="4"/>
      <c r="F14" s="19"/>
      <c r="G14" s="19"/>
      <c r="H14" s="19"/>
      <c r="I14" s="3"/>
    </row>
    <row r="15" spans="1:16" ht="15" customHeight="1" x14ac:dyDescent="0.15">
      <c r="D15" s="69"/>
      <c r="E15" s="4"/>
      <c r="F15" s="19"/>
      <c r="G15" s="19"/>
      <c r="H15" s="19"/>
      <c r="I15" s="3"/>
    </row>
    <row r="16" spans="1:16" ht="15" customHeight="1" x14ac:dyDescent="0.15">
      <c r="D16" s="69"/>
      <c r="E16" s="4"/>
      <c r="F16" s="19"/>
      <c r="G16" s="19"/>
      <c r="H16" s="19"/>
      <c r="I16" s="3"/>
    </row>
    <row r="17" spans="4:9" ht="15" customHeight="1" x14ac:dyDescent="0.15">
      <c r="D17" s="69"/>
      <c r="E17" s="4"/>
      <c r="F17" s="19"/>
      <c r="G17" s="19"/>
      <c r="H17" s="19"/>
      <c r="I17" s="3"/>
    </row>
    <row r="18" spans="4:9" ht="15" customHeight="1" x14ac:dyDescent="0.15">
      <c r="D18" s="69"/>
      <c r="E18" s="4"/>
      <c r="F18" s="19"/>
      <c r="G18" s="19"/>
      <c r="H18" s="19"/>
      <c r="I18" s="3"/>
    </row>
  </sheetData>
  <mergeCells count="17">
    <mergeCell ref="H5:K5"/>
    <mergeCell ref="C1:P1"/>
    <mergeCell ref="A8:B8"/>
    <mergeCell ref="C8:F8"/>
    <mergeCell ref="H8:K8"/>
    <mergeCell ref="A6:B6"/>
    <mergeCell ref="C6:F6"/>
    <mergeCell ref="H6:K6"/>
    <mergeCell ref="A7:B7"/>
    <mergeCell ref="C7:F7"/>
    <mergeCell ref="H7:K7"/>
    <mergeCell ref="A3:B3"/>
    <mergeCell ref="C3:F3"/>
    <mergeCell ref="C4:F4"/>
    <mergeCell ref="H4:K4"/>
    <mergeCell ref="A5:B5"/>
    <mergeCell ref="C5:F5"/>
  </mergeCells>
  <conditionalFormatting sqref="A11:C110 E11:H110">
    <cfRule type="expression" dxfId="31" priority="1">
      <formula>AND(COUNTA($A11:$P11)&gt;0,ISBLANK(A11))</formula>
    </cfRule>
  </conditionalFormatting>
  <conditionalFormatting sqref="C3:C5">
    <cfRule type="containsBlanks" dxfId="30" priority="4">
      <formula>LEN(TRIM(C3))=0</formula>
    </cfRule>
  </conditionalFormatting>
  <conditionalFormatting sqref="H4:H5">
    <cfRule type="containsBlanks" dxfId="29" priority="3">
      <formula>LEN(TRIM(H4))=0</formula>
    </cfRule>
  </conditionalFormatting>
  <dataValidations count="9">
    <dataValidation type="list" showErrorMessage="1" sqref="C3" xr:uid="{F3182D38-5E1C-5445-86F9-C07B69189532}">
      <formula1>BasementHeatingLevel</formula1>
    </dataValidation>
    <dataValidation type="list" showErrorMessage="1" sqref="C5 H5" xr:uid="{850B25DB-22A0-1E44-80EC-516285ACC83F}">
      <formula1>GeneralCondition</formula1>
    </dataValidation>
    <dataValidation type="list" allowBlank="1" showErrorMessage="1" sqref="C6 H6" xr:uid="{F37D7D51-E0CE-1249-9654-127D492FE92E}">
      <formula1>Prioritization</formula1>
    </dataValidation>
    <dataValidation type="textLength" operator="lessThanOrEqual" allowBlank="1" showInputMessage="1" showErrorMessage="1" prompt="Max. 1000 Zeichen." sqref="C7:C8 H7:H8" xr:uid="{A78A3B5E-263A-8A48-896A-F5E711D8D4DF}">
      <formula1>1000</formula1>
    </dataValidation>
    <dataValidation type="list" showInputMessage="1" prompt="Max. 5 Zeichen." sqref="A11:A110" xr:uid="{51D935AC-F0C4-EA4F-9A0F-C1F5944EE2A8}">
      <formula1>WS5ExpertCodes</formula1>
    </dataValidation>
    <dataValidation type="list" showInputMessage="1" showErrorMessage="1" prompt="Max. 5 Zeichen." sqref="I11:I110" xr:uid="{0DD37158-8D1B-2446-A73F-6115281C3466}">
      <formula1>HeaterExpertCodes</formula1>
    </dataValidation>
    <dataValidation type="list" showErrorMessage="1" sqref="C11:C110" xr:uid="{C7E3BA8B-ACF2-3644-873E-AF2FA6A12D41}">
      <formula1>FloorType</formula1>
    </dataValidation>
    <dataValidation type="list" allowBlank="1" showErrorMessage="1" sqref="O11:O110" xr:uid="{B9F99CEB-515F-4348-861D-3F407FB42063}">
      <formula1>CalculationBase_NoMeter</formula1>
    </dataValidation>
    <dataValidation type="textLength" operator="lessThanOrEqual" allowBlank="1" showInputMessage="1" showErrorMessage="1" prompt="Max. 250 Zeichen." sqref="B11:B111" xr:uid="{06A3EA7C-7142-D545-A055-A352CFD27A23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939D-1CEC-F443-AE3F-69CD078DE757}">
  <dimension ref="A1:K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2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0" style="1" customWidth="1"/>
    <col min="9" max="9" width="12.1640625" style="1" customWidth="1"/>
    <col min="10" max="10" width="15.8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7" width="16.6640625" style="1" customWidth="1"/>
    <col min="18" max="16384" width="9.1640625" style="1"/>
  </cols>
  <sheetData>
    <row r="1" spans="1:11" ht="15" customHeight="1" thickBot="1" x14ac:dyDescent="0.2">
      <c r="A1" s="129" t="s">
        <v>115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ht="15" customHeight="1" x14ac:dyDescent="0.15">
      <c r="E2" s="3"/>
      <c r="F2" s="19"/>
      <c r="G2" s="19"/>
      <c r="H2" s="19"/>
      <c r="I2" s="3"/>
    </row>
    <row r="3" spans="1:11" ht="15" customHeight="1" x14ac:dyDescent="0.15">
      <c r="A3" s="132" t="s">
        <v>193</v>
      </c>
      <c r="B3" s="147"/>
      <c r="C3" s="141"/>
      <c r="D3" s="141"/>
      <c r="E3" s="141"/>
      <c r="F3" s="141"/>
      <c r="G3" s="19"/>
    </row>
    <row r="4" spans="1:11" ht="62.25" customHeight="1" x14ac:dyDescent="0.15">
      <c r="A4" s="145" t="s">
        <v>18</v>
      </c>
      <c r="B4" s="146"/>
      <c r="C4" s="141"/>
      <c r="D4" s="141"/>
      <c r="E4" s="141"/>
      <c r="F4" s="141"/>
      <c r="G4" s="19"/>
    </row>
    <row r="5" spans="1:11" ht="62.25" customHeight="1" x14ac:dyDescent="0.15">
      <c r="A5" s="145" t="s">
        <v>91</v>
      </c>
      <c r="B5" s="146"/>
      <c r="C5" s="141"/>
      <c r="D5" s="141"/>
      <c r="E5" s="141"/>
      <c r="F5" s="141"/>
      <c r="G5" s="19"/>
    </row>
    <row r="6" spans="1:11" ht="26.25" customHeight="1" x14ac:dyDescent="0.15">
      <c r="E6" s="3"/>
      <c r="F6" s="19"/>
      <c r="G6" s="19"/>
      <c r="H6" s="19"/>
      <c r="I6" s="3"/>
    </row>
    <row r="7" spans="1:11" ht="34.5" customHeight="1" x14ac:dyDescent="0.15">
      <c r="A7" s="95" t="s">
        <v>16</v>
      </c>
      <c r="B7" s="99" t="s">
        <v>27</v>
      </c>
      <c r="C7" s="99" t="s">
        <v>21</v>
      </c>
      <c r="D7" s="96" t="s">
        <v>348</v>
      </c>
      <c r="E7" s="99" t="s">
        <v>116</v>
      </c>
      <c r="F7" s="99" t="s">
        <v>117</v>
      </c>
      <c r="G7" s="99" t="s">
        <v>118</v>
      </c>
      <c r="H7" s="99" t="s">
        <v>119</v>
      </c>
      <c r="I7" s="95" t="s">
        <v>120</v>
      </c>
    </row>
    <row r="8" spans="1:11" ht="15" customHeight="1" x14ac:dyDescent="0.15">
      <c r="D8" s="69"/>
      <c r="E8" s="4"/>
      <c r="F8" s="19"/>
      <c r="G8" s="19"/>
      <c r="H8" s="19"/>
      <c r="I8" s="3"/>
    </row>
    <row r="9" spans="1:11" ht="15" customHeight="1" x14ac:dyDescent="0.15">
      <c r="D9" s="69"/>
      <c r="E9" s="4"/>
      <c r="F9" s="19"/>
      <c r="G9" s="19"/>
      <c r="H9" s="19"/>
      <c r="I9" s="3"/>
    </row>
    <row r="10" spans="1:11" ht="15" customHeight="1" x14ac:dyDescent="0.15">
      <c r="D10" s="69"/>
      <c r="E10" s="4"/>
      <c r="F10" s="19"/>
      <c r="G10" s="19"/>
      <c r="H10" s="19"/>
      <c r="I10" s="3"/>
    </row>
    <row r="11" spans="1:11" ht="15" customHeight="1" x14ac:dyDescent="0.15">
      <c r="D11" s="69"/>
      <c r="E11" s="4"/>
      <c r="F11" s="19"/>
      <c r="G11" s="19"/>
      <c r="H11" s="19"/>
      <c r="I11" s="3"/>
    </row>
    <row r="12" spans="1:11" ht="15" customHeight="1" x14ac:dyDescent="0.15">
      <c r="D12" s="69"/>
      <c r="E12" s="4"/>
      <c r="F12" s="19"/>
      <c r="G12" s="19"/>
      <c r="H12" s="19"/>
      <c r="I12" s="3"/>
    </row>
    <row r="13" spans="1:11" ht="15" customHeight="1" x14ac:dyDescent="0.15">
      <c r="D13" s="69"/>
      <c r="E13" s="4"/>
      <c r="F13" s="19"/>
      <c r="G13" s="19"/>
      <c r="H13" s="19"/>
      <c r="I13" s="3"/>
    </row>
    <row r="14" spans="1:11" ht="15" customHeight="1" x14ac:dyDescent="0.15">
      <c r="D14" s="69"/>
      <c r="E14" s="4"/>
      <c r="F14" s="19"/>
      <c r="G14" s="19"/>
      <c r="H14" s="19"/>
      <c r="I14" s="3"/>
    </row>
    <row r="15" spans="1:11" ht="15" customHeight="1" x14ac:dyDescent="0.15">
      <c r="D15" s="69"/>
      <c r="E15" s="4"/>
      <c r="F15" s="19"/>
      <c r="G15" s="19"/>
      <c r="H15" s="19"/>
      <c r="I15" s="3"/>
    </row>
    <row r="16" spans="1:11" ht="15" customHeight="1" x14ac:dyDescent="0.15">
      <c r="D16" s="69"/>
      <c r="E16" s="4"/>
      <c r="F16" s="19"/>
      <c r="G16" s="19"/>
      <c r="H16" s="19"/>
      <c r="I16" s="3"/>
    </row>
    <row r="17" spans="4:9" ht="15" customHeight="1" x14ac:dyDescent="0.15">
      <c r="D17" s="69"/>
      <c r="E17" s="4"/>
      <c r="F17" s="19"/>
      <c r="G17" s="19"/>
      <c r="H17" s="19"/>
      <c r="I17" s="3"/>
    </row>
    <row r="18" spans="4:9" ht="15" customHeight="1" x14ac:dyDescent="0.15">
      <c r="D18" s="69"/>
      <c r="E18" s="4"/>
      <c r="F18" s="19"/>
      <c r="G18" s="19"/>
      <c r="H18" s="19"/>
      <c r="I18" s="3"/>
    </row>
    <row r="19" spans="4:9" ht="15" customHeight="1" x14ac:dyDescent="0.15">
      <c r="D19" s="69"/>
      <c r="E19" s="4"/>
      <c r="F19" s="19"/>
      <c r="G19" s="19"/>
      <c r="H19" s="19"/>
      <c r="I19" s="3"/>
    </row>
    <row r="20" spans="4:9" ht="15" customHeight="1" x14ac:dyDescent="0.15">
      <c r="D20" s="69"/>
      <c r="E20" s="4"/>
      <c r="F20" s="19"/>
      <c r="G20" s="19"/>
      <c r="H20" s="19"/>
      <c r="I20" s="3"/>
    </row>
    <row r="21" spans="4:9" ht="15" customHeight="1" x14ac:dyDescent="0.15">
      <c r="D21" s="69"/>
      <c r="E21" s="4"/>
      <c r="F21" s="19"/>
      <c r="G21" s="19"/>
      <c r="H21" s="19"/>
      <c r="I21" s="3"/>
    </row>
    <row r="22" spans="4:9" ht="15" customHeight="1" x14ac:dyDescent="0.15">
      <c r="D22" s="69"/>
      <c r="E22" s="4"/>
      <c r="F22" s="19"/>
      <c r="G22" s="19"/>
      <c r="H22" s="19"/>
      <c r="I22" s="3"/>
    </row>
    <row r="23" spans="4:9" ht="15" customHeight="1" x14ac:dyDescent="0.15">
      <c r="D23" s="69"/>
      <c r="E23" s="4"/>
      <c r="F23" s="19"/>
      <c r="G23" s="19"/>
      <c r="H23" s="19"/>
      <c r="I23" s="3"/>
    </row>
    <row r="24" spans="4:9" ht="15" customHeight="1" x14ac:dyDescent="0.15">
      <c r="D24" s="69"/>
      <c r="E24" s="4"/>
      <c r="F24" s="19"/>
      <c r="G24" s="19"/>
      <c r="H24" s="19"/>
      <c r="I24" s="3"/>
    </row>
  </sheetData>
  <mergeCells count="7">
    <mergeCell ref="A5:B5"/>
    <mergeCell ref="C5:F5"/>
    <mergeCell ref="A1:K1"/>
    <mergeCell ref="A3:B3"/>
    <mergeCell ref="C3:F3"/>
    <mergeCell ref="A4:B4"/>
    <mergeCell ref="C4:F4"/>
  </mergeCells>
  <conditionalFormatting sqref="A8:I107">
    <cfRule type="expression" dxfId="28" priority="1">
      <formula>AND(COUNTA($A8:$I8)&gt;0,ISBLANK(A8))</formula>
    </cfRule>
  </conditionalFormatting>
  <dataValidations count="5">
    <dataValidation type="list" allowBlank="1" showErrorMessage="1" sqref="C3" xr:uid="{58A6CC78-2FAF-6149-9943-CE6E820CA79E}">
      <formula1>Prioritization</formula1>
    </dataValidation>
    <dataValidation type="textLength" operator="lessThanOrEqual" allowBlank="1" showInputMessage="1" showErrorMessage="1" prompt="Max. 1000 Zeichen." sqref="C4:C5" xr:uid="{FCBA563A-A654-6D42-9040-024DEA6E8736}">
      <formula1>1000</formula1>
    </dataValidation>
    <dataValidation type="list" showInputMessage="1" prompt="Max. 5 Zeichen." sqref="A8:A107" xr:uid="{2E706B2F-85AF-1E43-95B8-185AECCBD0D7}">
      <formula1>WS6ExpertCodes</formula1>
    </dataValidation>
    <dataValidation type="list" showErrorMessage="1" sqref="C8:C107" xr:uid="{13EB2BD7-498C-7B4B-9AF0-5B2A05FFA3B1}">
      <formula1>ThermalBridgeType</formula1>
    </dataValidation>
    <dataValidation type="textLength" operator="lessThanOrEqual" allowBlank="1" showInputMessage="1" showErrorMessage="1" prompt="Max. 250 Zeichen." sqref="B8:B108" xr:uid="{94DC4094-0297-BF45-BDD0-0FEC4507D4B4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4855-A057-3948-B222-68D2FA61251A}">
  <sheetPr codeName="Sheet7"/>
  <dimension ref="A1:Q10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14.5" style="1" customWidth="1"/>
    <col min="4" max="4" width="16" style="1" customWidth="1"/>
    <col min="5" max="5" width="15.83203125" style="1" customWidth="1"/>
    <col min="6" max="6" width="19.5" style="1" customWidth="1"/>
    <col min="7" max="7" width="18.33203125" style="1" customWidth="1"/>
    <col min="8" max="8" width="14.1640625" style="1" customWidth="1"/>
    <col min="9" max="9" width="13.5" style="1" customWidth="1"/>
    <col min="10" max="10" width="10.1640625" style="1" customWidth="1"/>
    <col min="11" max="11" width="26.83203125" style="1" customWidth="1"/>
    <col min="12" max="12" width="19.33203125" style="1" customWidth="1"/>
    <col min="13" max="13" width="20" style="1" customWidth="1"/>
    <col min="14" max="14" width="18.1640625" style="1" customWidth="1"/>
    <col min="15" max="15" width="13.5" style="1" customWidth="1"/>
    <col min="16" max="16" width="20.1640625" style="1" bestFit="1" customWidth="1"/>
    <col min="17" max="17" width="13.5" style="1" customWidth="1"/>
    <col min="18" max="16384" width="9.1640625" style="1"/>
  </cols>
  <sheetData>
    <row r="1" spans="1:17" ht="15" customHeight="1" thickBot="1" x14ac:dyDescent="0.2">
      <c r="A1" s="153" t="s">
        <v>36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1:17" ht="47.25" customHeight="1" x14ac:dyDescent="0.15"/>
    <row r="3" spans="1:17" s="32" customFormat="1" ht="44.25" customHeight="1" x14ac:dyDescent="0.2">
      <c r="A3" s="95" t="s">
        <v>16</v>
      </c>
      <c r="B3" s="97" t="s">
        <v>27</v>
      </c>
      <c r="C3" s="97" t="s">
        <v>28</v>
      </c>
      <c r="D3" s="97" t="s">
        <v>82</v>
      </c>
      <c r="E3" s="97" t="s">
        <v>83</v>
      </c>
      <c r="F3" s="97" t="s">
        <v>38</v>
      </c>
      <c r="G3" s="97" t="s">
        <v>21</v>
      </c>
      <c r="H3" s="97" t="s">
        <v>29</v>
      </c>
      <c r="I3" s="97" t="s">
        <v>37</v>
      </c>
      <c r="J3" s="97" t="s">
        <v>7</v>
      </c>
      <c r="K3" s="97" t="s">
        <v>22</v>
      </c>
      <c r="L3" s="97" t="s">
        <v>30</v>
      </c>
      <c r="M3" s="95" t="s">
        <v>201</v>
      </c>
      <c r="N3" s="95" t="s">
        <v>204</v>
      </c>
      <c r="O3" s="95" t="s">
        <v>205</v>
      </c>
      <c r="P3" s="95" t="s">
        <v>196</v>
      </c>
      <c r="Q3" s="95" t="s">
        <v>197</v>
      </c>
    </row>
    <row r="4" spans="1:17" ht="15" customHeight="1" x14ac:dyDescent="0.15">
      <c r="D4" s="20"/>
      <c r="E4" s="20"/>
      <c r="F4" s="25"/>
      <c r="G4" s="23"/>
      <c r="H4" s="23"/>
      <c r="I4" s="23"/>
      <c r="J4" s="23"/>
    </row>
    <row r="5" spans="1:17" ht="15" customHeight="1" x14ac:dyDescent="0.15">
      <c r="D5" s="20"/>
      <c r="E5" s="20"/>
      <c r="F5" s="25"/>
      <c r="G5" s="23"/>
      <c r="H5" s="23"/>
      <c r="I5" s="23"/>
      <c r="J5" s="23"/>
    </row>
    <row r="6" spans="1:17" ht="15" customHeight="1" x14ac:dyDescent="0.15">
      <c r="D6" s="20"/>
      <c r="E6" s="20"/>
      <c r="F6" s="25"/>
      <c r="G6" s="23"/>
      <c r="H6" s="23"/>
      <c r="I6" s="23"/>
      <c r="J6" s="23"/>
    </row>
    <row r="7" spans="1:17" ht="15" customHeight="1" x14ac:dyDescent="0.15">
      <c r="D7" s="20"/>
      <c r="E7" s="20"/>
      <c r="F7" s="25"/>
      <c r="G7" s="23"/>
      <c r="H7" s="23"/>
      <c r="I7" s="23"/>
      <c r="J7" s="23"/>
    </row>
    <row r="8" spans="1:17" ht="15" customHeight="1" x14ac:dyDescent="0.15">
      <c r="D8" s="45"/>
      <c r="E8" s="45"/>
    </row>
    <row r="9" spans="1:17" ht="15" customHeight="1" x14ac:dyDescent="0.15">
      <c r="D9" s="45"/>
      <c r="E9" s="45"/>
    </row>
    <row r="10" spans="1:17" ht="15" customHeight="1" x14ac:dyDescent="0.15">
      <c r="D10" s="45"/>
      <c r="E10" s="45"/>
    </row>
  </sheetData>
  <mergeCells count="1">
    <mergeCell ref="A1:Q1"/>
  </mergeCells>
  <conditionalFormatting sqref="A4:M8">
    <cfRule type="expression" dxfId="27" priority="1">
      <formula>AND(COUNTA($A4:$Q4)&gt;0,ISBLANK(A4))</formula>
    </cfRule>
  </conditionalFormatting>
  <dataValidations count="10">
    <dataValidation type="list" showInputMessage="1" showErrorMessage="1" prompt="Max. 5 Zeichen." sqref="A4:A8" xr:uid="{B25A614D-29C4-9B40-86F9-8E0909DD0CFC}">
      <formula1>HpExpertCodes</formula1>
    </dataValidation>
    <dataValidation type="list" showErrorMessage="1" sqref="C4:C8" xr:uid="{7C0D95DE-2690-1748-B108-B8EE49B09DFC}">
      <formula1>EnergySources</formula1>
    </dataValidation>
    <dataValidation type="list" showErrorMessage="1" sqref="F4:F8" xr:uid="{94A7B87F-3352-4042-A6D2-F21EC43CF90C}">
      <formula1>HeatProducerOversize</formula1>
    </dataValidation>
    <dataValidation type="list" showInputMessage="1" showErrorMessage="1" prompt="Max. 5 Zeichen." sqref="G4:G8" xr:uid="{3D0ADF32-D638-D54D-B483-41CA23E0ACA1}">
      <formula1>HeatProducerTypes</formula1>
    </dataValidation>
    <dataValidation type="list" showErrorMessage="1" sqref="H4:H8" xr:uid="{131355B3-6C1C-1340-8994-73817DF42A6E}">
      <formula1>SuppliedDistributionSystems</formula1>
    </dataValidation>
    <dataValidation type="list" showErrorMessage="1" sqref="I4:I8" xr:uid="{D6A8CF9F-CD6B-2742-95B0-996583AA0F5B}">
      <formula1>HeatingSupplyType</formula1>
    </dataValidation>
    <dataValidation type="list" showErrorMessage="1" sqref="K4:K8" xr:uid="{05C7CB6D-DE3F-FF47-B1C5-0A14100B2FD3}">
      <formula1>HeatProducerCondition</formula1>
    </dataValidation>
    <dataValidation type="list" showErrorMessage="1" sqref="L4:L8" xr:uid="{8A88E4BF-3E6A-3842-9264-735A5521C5D9}">
      <formula1>InOutThermalEnvelope</formula1>
    </dataValidation>
    <dataValidation type="list" allowBlank="1" showErrorMessage="1" sqref="P4:P103" xr:uid="{FE24705C-14EF-844D-B4AD-2289E7E826A9}">
      <formula1>CalculationBase_OnlyLump</formula1>
    </dataValidation>
    <dataValidation type="textLength" operator="lessThanOrEqual" allowBlank="1" showInputMessage="1" showErrorMessage="1" prompt="Max. 250 Zeichen." sqref="B4:B104" xr:uid="{B5844F76-8FFB-BC48-85BD-295119A3225F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099D-68A0-BD4A-A1D5-1F7FFCE60D42}">
  <dimension ref="A1:S14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27.83203125" style="1" customWidth="1"/>
    <col min="4" max="6" width="26" style="1" customWidth="1"/>
    <col min="7" max="7" width="27.83203125" style="1" customWidth="1"/>
    <col min="8" max="8" width="25.6640625" style="1" customWidth="1"/>
    <col min="9" max="10" width="20.5" style="1" customWidth="1"/>
    <col min="11" max="15" width="6.83203125" style="1" customWidth="1"/>
    <col min="16" max="16" width="20" style="1" customWidth="1"/>
    <col min="17" max="17" width="9.6640625" style="1" customWidth="1"/>
    <col min="18" max="18" width="19.6640625" style="1" customWidth="1"/>
    <col min="19" max="19" width="17.5" style="1" customWidth="1"/>
    <col min="20" max="16384" width="9.1640625" style="1"/>
  </cols>
  <sheetData>
    <row r="1" spans="1:19" ht="15" customHeight="1" thickBot="1" x14ac:dyDescent="0.25">
      <c r="A1" s="102" t="s">
        <v>171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52"/>
      <c r="Q1" s="73"/>
      <c r="R1" s="73"/>
      <c r="S1" s="73"/>
    </row>
    <row r="2" spans="1:19" ht="47.25" customHeight="1" x14ac:dyDescent="0.15">
      <c r="K2" s="155"/>
      <c r="L2" s="156"/>
      <c r="M2" s="156"/>
      <c r="N2" s="156"/>
      <c r="O2" s="157"/>
    </row>
    <row r="3" spans="1:19" s="32" customFormat="1" ht="44.25" customHeight="1" x14ac:dyDescent="0.2">
      <c r="A3" s="95" t="s">
        <v>16</v>
      </c>
      <c r="B3" s="97" t="s">
        <v>27</v>
      </c>
      <c r="C3" s="97" t="s">
        <v>21</v>
      </c>
      <c r="D3" s="97" t="s">
        <v>172</v>
      </c>
      <c r="E3" s="97" t="s">
        <v>173</v>
      </c>
      <c r="F3" s="97" t="s">
        <v>184</v>
      </c>
      <c r="G3" s="97" t="s">
        <v>30</v>
      </c>
      <c r="H3" s="97" t="s">
        <v>174</v>
      </c>
      <c r="I3" s="97" t="s">
        <v>175</v>
      </c>
      <c r="J3" s="95" t="s">
        <v>201</v>
      </c>
      <c r="K3" s="97" t="s">
        <v>176</v>
      </c>
      <c r="L3" s="97" t="s">
        <v>177</v>
      </c>
      <c r="M3" s="97" t="s">
        <v>178</v>
      </c>
      <c r="N3" s="97" t="s">
        <v>179</v>
      </c>
      <c r="O3" s="97" t="s">
        <v>180</v>
      </c>
      <c r="P3" s="95" t="s">
        <v>204</v>
      </c>
      <c r="Q3" s="95" t="s">
        <v>205</v>
      </c>
      <c r="R3" s="95" t="s">
        <v>196</v>
      </c>
      <c r="S3" s="95" t="s">
        <v>197</v>
      </c>
    </row>
    <row r="4" spans="1:19" ht="15" customHeight="1" x14ac:dyDescent="0.15">
      <c r="D4" s="67"/>
      <c r="E4" s="67"/>
      <c r="F4" s="67"/>
      <c r="G4" s="23"/>
      <c r="H4" s="23"/>
      <c r="I4" s="66"/>
      <c r="J4" s="66"/>
      <c r="K4" s="23"/>
    </row>
    <row r="5" spans="1:19" ht="15" customHeight="1" x14ac:dyDescent="0.15">
      <c r="D5" s="67"/>
      <c r="E5" s="67"/>
      <c r="F5" s="67"/>
      <c r="G5" s="23"/>
      <c r="H5" s="23"/>
      <c r="I5" s="66"/>
      <c r="J5" s="66"/>
      <c r="K5" s="23"/>
    </row>
    <row r="6" spans="1:19" ht="15" customHeight="1" x14ac:dyDescent="0.15">
      <c r="D6" s="67"/>
      <c r="E6" s="67"/>
      <c r="F6" s="67"/>
      <c r="G6" s="23"/>
      <c r="H6" s="23"/>
      <c r="I6" s="66"/>
      <c r="J6" s="66"/>
      <c r="K6" s="23"/>
    </row>
    <row r="7" spans="1:19" ht="15" customHeight="1" x14ac:dyDescent="0.15">
      <c r="D7" s="67"/>
      <c r="E7" s="67"/>
      <c r="F7" s="67"/>
      <c r="G7" s="23"/>
      <c r="H7" s="23"/>
      <c r="I7" s="66"/>
      <c r="J7" s="66"/>
      <c r="K7" s="23"/>
    </row>
    <row r="8" spans="1:19" ht="15" customHeight="1" x14ac:dyDescent="0.15">
      <c r="D8" s="3"/>
      <c r="E8" s="3"/>
      <c r="F8" s="3"/>
      <c r="I8" s="4"/>
      <c r="J8" s="4"/>
    </row>
    <row r="9" spans="1:19" ht="15" customHeight="1" x14ac:dyDescent="0.15">
      <c r="D9" s="3"/>
      <c r="E9" s="3"/>
      <c r="F9" s="3"/>
      <c r="I9" s="4"/>
      <c r="J9" s="4"/>
    </row>
    <row r="10" spans="1:19" ht="15" customHeight="1" x14ac:dyDescent="0.15">
      <c r="D10" s="3"/>
      <c r="E10" s="3"/>
      <c r="F10" s="3"/>
      <c r="I10" s="4"/>
      <c r="J10" s="4"/>
    </row>
    <row r="11" spans="1:19" ht="15" customHeight="1" x14ac:dyDescent="0.15">
      <c r="D11" s="3"/>
      <c r="E11" s="3"/>
      <c r="F11" s="3"/>
      <c r="I11" s="4"/>
      <c r="J11" s="4"/>
    </row>
    <row r="12" spans="1:19" ht="15" customHeight="1" x14ac:dyDescent="0.15">
      <c r="D12" s="3"/>
      <c r="E12" s="3"/>
      <c r="F12" s="3"/>
      <c r="I12" s="4"/>
      <c r="J12" s="4"/>
    </row>
    <row r="13" spans="1:19" ht="15" customHeight="1" x14ac:dyDescent="0.15">
      <c r="D13" s="3"/>
      <c r="E13" s="3"/>
      <c r="F13" s="3"/>
      <c r="I13" s="4"/>
      <c r="J13" s="4"/>
    </row>
    <row r="14" spans="1:19" ht="15" customHeight="1" x14ac:dyDescent="0.15">
      <c r="D14" s="3"/>
      <c r="E14" s="3"/>
      <c r="F14" s="3"/>
      <c r="I14" s="4"/>
      <c r="J14" s="4"/>
    </row>
  </sheetData>
  <mergeCells count="1">
    <mergeCell ref="K2:O2"/>
  </mergeCells>
  <conditionalFormatting sqref="A4:O13">
    <cfRule type="expression" dxfId="26" priority="1">
      <formula>AND(COUNTA($A4:$S4)&gt;0,ISBLANK(A4))</formula>
    </cfRule>
  </conditionalFormatting>
  <dataValidations count="7">
    <dataValidation type="list" showInputMessage="1" showErrorMessage="1" prompt="Max. 5 Zeichen." sqref="A4:A13" xr:uid="{2F555A27-EF87-CA45-8171-61D4C406CC7D}">
      <formula1>SpExpertCodes</formula1>
    </dataValidation>
    <dataValidation type="list" showErrorMessage="1" sqref="C4:C13" xr:uid="{4EE0AADF-3A64-A64A-87AA-2390EBE802FA}">
      <formula1>ReservoirType</formula1>
    </dataValidation>
    <dataValidation type="list" showErrorMessage="1" sqref="K4:O13" xr:uid="{5A309717-93C9-6244-A8E3-02956D1FA3DE}">
      <formula1>HeizungsspeichervolumeninLiter</formula1>
    </dataValidation>
    <dataValidation type="list" showErrorMessage="1" sqref="G4:G13" xr:uid="{65072259-4C93-4C4F-B340-556140FDE231}">
      <formula1>InOutThermalEnvelope</formula1>
    </dataValidation>
    <dataValidation type="list" showErrorMessage="1" sqref="H4:H13" xr:uid="{0CF3FBB8-ABA7-EB4E-8AFA-F282B4044374}">
      <formula1>Quality</formula1>
    </dataValidation>
    <dataValidation type="list" allowBlank="1" showErrorMessage="1" sqref="R4:R103" xr:uid="{18703CA8-D94D-5B40-AEF2-D370C0377C89}">
      <formula1>CalculationBase_OnlyLump</formula1>
    </dataValidation>
    <dataValidation type="textLength" operator="lessThanOrEqual" allowBlank="1" showInputMessage="1" showErrorMessage="1" prompt="Max. 250 Zeichen." sqref="B4:B104" xr:uid="{9C2A07CE-228E-1149-8F3D-1235920061B1}">
      <formula1>250</formula1>
    </dataValidation>
  </dataValidations>
  <pageMargins left="0.7" right="0.7" top="0.75" bottom="0.75" header="0.3" footer="0.3"/>
  <pageSetup paperSize="9" orientation="portrait" verticalDpi="300"/>
</worksheet>
</file>

<file path=xl/worksheets/sheet10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A4D8-446C-BE40-A205-27BB0412328C}">
  <sheetPr codeName="Sheet9"/>
  <dimension ref="A1:V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5" width="13.6640625" style="1" customWidth="1"/>
    <col min="6" max="11" width="16.6640625" style="1" customWidth="1"/>
    <col min="12" max="12" width="14" style="1" customWidth="1"/>
    <col min="13" max="13" width="14.6640625" style="1" customWidth="1"/>
    <col min="14" max="14" width="16" style="1" customWidth="1"/>
    <col min="15" max="15" width="15" style="1" customWidth="1"/>
    <col min="16" max="16" width="12.83203125" style="1" customWidth="1"/>
    <col min="17" max="17" width="12" style="1" customWidth="1"/>
    <col min="18" max="18" width="17.1640625" style="1" customWidth="1"/>
    <col min="19" max="19" width="12.1640625" style="1" customWidth="1"/>
    <col min="20" max="20" width="19.5" style="1" customWidth="1"/>
    <col min="21" max="21" width="14.83203125" style="1" customWidth="1"/>
    <col min="22" max="22" width="21" style="1" customWidth="1"/>
    <col min="23" max="16384" width="9.1640625" style="1"/>
  </cols>
  <sheetData>
    <row r="1" spans="1:22" ht="15" customHeight="1" thickBot="1" x14ac:dyDescent="0.2">
      <c r="A1" s="161" t="s">
        <v>72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8"/>
      <c r="R1" s="169"/>
      <c r="S1" s="169"/>
      <c r="T1" s="169"/>
      <c r="U1" s="169"/>
      <c r="V1" s="169"/>
    </row>
    <row r="2" spans="1:22" ht="15" customHeight="1" x14ac:dyDescent="0.15">
      <c r="A2" s="18"/>
      <c r="B2" s="33"/>
      <c r="C2" s="18"/>
      <c r="D2" s="34"/>
      <c r="E2" s="22"/>
      <c r="F2" s="22"/>
      <c r="G2" s="22"/>
      <c r="H2" s="34"/>
      <c r="I2" s="18"/>
      <c r="J2" s="18"/>
      <c r="K2" s="18"/>
      <c r="L2" s="18"/>
      <c r="M2" s="18"/>
      <c r="N2" s="18"/>
      <c r="O2" s="18"/>
      <c r="P2" s="18"/>
      <c r="Q2" s="18"/>
    </row>
    <row r="3" spans="1:22" ht="15" customHeight="1" x14ac:dyDescent="0.15">
      <c r="A3" s="18"/>
      <c r="B3" s="33"/>
      <c r="C3" s="163" t="s">
        <v>121</v>
      </c>
      <c r="D3" s="164"/>
      <c r="E3" s="164"/>
      <c r="F3" s="22"/>
      <c r="G3" s="22"/>
      <c r="H3" s="34"/>
      <c r="I3" s="18"/>
      <c r="J3" s="18"/>
      <c r="K3" s="18"/>
      <c r="L3" s="18"/>
      <c r="M3" s="18"/>
      <c r="N3" s="18"/>
      <c r="O3" s="18"/>
      <c r="P3" s="18"/>
      <c r="Q3" s="18"/>
    </row>
    <row r="4" spans="1:22" ht="15" customHeight="1" x14ac:dyDescent="0.15">
      <c r="A4" s="139" t="s">
        <v>342</v>
      </c>
      <c r="B4" s="167"/>
      <c r="C4" s="160"/>
      <c r="D4" s="160"/>
      <c r="E4" s="160"/>
      <c r="F4" s="22"/>
      <c r="G4" s="22"/>
      <c r="H4" s="34"/>
      <c r="I4" s="18"/>
      <c r="J4" s="18"/>
      <c r="K4" s="18"/>
      <c r="L4" s="18"/>
      <c r="M4" s="18"/>
      <c r="N4" s="18"/>
      <c r="O4" s="18"/>
      <c r="P4" s="18"/>
      <c r="Q4" s="18"/>
    </row>
    <row r="5" spans="1:22" ht="15" customHeight="1" x14ac:dyDescent="0.15">
      <c r="A5" s="165" t="s">
        <v>193</v>
      </c>
      <c r="B5" s="166"/>
      <c r="C5" s="160"/>
      <c r="D5" s="160"/>
      <c r="E5" s="160"/>
      <c r="F5" s="22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22" ht="62.25" customHeight="1" x14ac:dyDescent="0.15">
      <c r="A6" s="158" t="s">
        <v>18</v>
      </c>
      <c r="B6" s="159"/>
      <c r="C6" s="160"/>
      <c r="D6" s="160"/>
      <c r="E6" s="160"/>
      <c r="F6" s="22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22" ht="62.25" customHeight="1" x14ac:dyDescent="0.15">
      <c r="A7" s="158" t="s">
        <v>91</v>
      </c>
      <c r="B7" s="159"/>
      <c r="C7" s="160"/>
      <c r="D7" s="160"/>
      <c r="E7" s="160"/>
      <c r="F7" s="22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22" ht="30.75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22" ht="37.5" customHeight="1" x14ac:dyDescent="0.15">
      <c r="A9" s="95" t="s">
        <v>16</v>
      </c>
      <c r="B9" s="103" t="s">
        <v>27</v>
      </c>
      <c r="C9" s="103" t="s">
        <v>162</v>
      </c>
      <c r="D9" s="103" t="s">
        <v>21</v>
      </c>
      <c r="E9" s="103" t="s">
        <v>37</v>
      </c>
      <c r="F9" s="103" t="s">
        <v>122</v>
      </c>
      <c r="G9" s="103" t="s">
        <v>123</v>
      </c>
      <c r="H9" s="103" t="s">
        <v>124</v>
      </c>
      <c r="I9" s="103" t="s">
        <v>125</v>
      </c>
      <c r="J9" s="103" t="s">
        <v>126</v>
      </c>
      <c r="K9" s="103" t="s">
        <v>181</v>
      </c>
      <c r="L9" s="103" t="s">
        <v>79</v>
      </c>
      <c r="M9" s="103" t="s">
        <v>127</v>
      </c>
      <c r="N9" s="103" t="s">
        <v>128</v>
      </c>
      <c r="O9" s="103" t="s">
        <v>129</v>
      </c>
      <c r="P9" s="95" t="s">
        <v>71</v>
      </c>
      <c r="Q9" s="95" t="s">
        <v>32</v>
      </c>
      <c r="R9" s="95" t="s">
        <v>204</v>
      </c>
      <c r="S9" s="95" t="s">
        <v>205</v>
      </c>
      <c r="T9" s="95" t="s">
        <v>196</v>
      </c>
      <c r="U9" s="95" t="s">
        <v>197</v>
      </c>
      <c r="V9" s="95" t="s">
        <v>201</v>
      </c>
    </row>
    <row r="10" spans="1:22" ht="15" customHeight="1" x14ac:dyDescent="0.15">
      <c r="A10" s="35"/>
      <c r="B10" s="35"/>
      <c r="C10" s="35"/>
      <c r="D10" s="35"/>
      <c r="E10" s="35"/>
      <c r="F10" s="36"/>
      <c r="G10" s="36"/>
      <c r="H10" s="36"/>
      <c r="I10" s="36"/>
      <c r="J10" s="37"/>
      <c r="K10" s="37"/>
      <c r="L10" s="35"/>
      <c r="M10" s="35"/>
      <c r="N10" s="35"/>
      <c r="O10" s="35"/>
      <c r="P10" s="35"/>
      <c r="Q10" s="35"/>
    </row>
    <row r="11" spans="1:22" ht="15" customHeight="1" x14ac:dyDescent="0.15">
      <c r="A11" s="18"/>
      <c r="B11" s="18"/>
      <c r="C11" s="18"/>
      <c r="D11" s="18"/>
      <c r="E11" s="18"/>
      <c r="F11" s="38"/>
      <c r="G11" s="38"/>
      <c r="H11" s="38"/>
      <c r="I11" s="38"/>
      <c r="J11" s="39"/>
      <c r="K11" s="39"/>
      <c r="L11" s="18"/>
      <c r="M11" s="18"/>
      <c r="N11" s="18"/>
      <c r="O11" s="18"/>
      <c r="P11" s="18"/>
      <c r="Q11" s="18"/>
    </row>
    <row r="12" spans="1:22" ht="15" customHeight="1" x14ac:dyDescent="0.15">
      <c r="A12" s="18"/>
      <c r="B12" s="18"/>
      <c r="C12" s="18"/>
      <c r="D12" s="18"/>
      <c r="E12" s="18"/>
      <c r="F12" s="38"/>
      <c r="G12" s="38"/>
      <c r="H12" s="38"/>
      <c r="I12" s="38"/>
      <c r="J12" s="39"/>
      <c r="K12" s="39"/>
      <c r="L12" s="18"/>
      <c r="M12" s="18"/>
      <c r="N12" s="18"/>
      <c r="O12" s="18"/>
      <c r="P12" s="18"/>
      <c r="Q12" s="18"/>
    </row>
  </sheetData>
  <mergeCells count="11">
    <mergeCell ref="Q1:V1"/>
    <mergeCell ref="C4:E4"/>
    <mergeCell ref="A6:B6"/>
    <mergeCell ref="C6:E6"/>
    <mergeCell ref="A7:B7"/>
    <mergeCell ref="C7:E7"/>
    <mergeCell ref="A1:P1"/>
    <mergeCell ref="C3:E3"/>
    <mergeCell ref="A5:B5"/>
    <mergeCell ref="C5:E5"/>
    <mergeCell ref="A4:B4"/>
  </mergeCells>
  <conditionalFormatting sqref="A10:Q12 V10:V12">
    <cfRule type="expression" dxfId="25" priority="1">
      <formula>AND(COUNTA($A10:$V10)&gt;0,ISBLANK(A10))</formula>
    </cfRule>
  </conditionalFormatting>
  <conditionalFormatting sqref="A10:Q12">
    <cfRule type="expression" dxfId="24" priority="3" stopIfTrue="1">
      <formula>AND(COUNTA($A10:$Q10)&gt;0,ISBLANK(A10))</formula>
    </cfRule>
  </conditionalFormatting>
  <conditionalFormatting sqref="C4">
    <cfRule type="containsBlanks" dxfId="23" priority="2">
      <formula>LEN(TRIM(C4))=0</formula>
    </cfRule>
  </conditionalFormatting>
  <conditionalFormatting sqref="C5">
    <cfRule type="expression" dxfId="22" priority="4" stopIfTrue="1">
      <formula>LEN(TRIM(C5))=0</formula>
    </cfRule>
  </conditionalFormatting>
  <dataValidations count="16">
    <dataValidation type="list" showInputMessage="1" showErrorMessage="1" sqref="P10:P12" xr:uid="{267AE448-2DE6-2F47-8F2C-49D91FEBF3DB}">
      <formula1>InOutThermalEnvelope</formula1>
    </dataValidation>
    <dataValidation type="list" showInputMessage="1" showErrorMessage="1" sqref="E10:E12" xr:uid="{C019F71C-4E93-C44A-8121-4EA7ED8BF09D}">
      <formula1>HeatEmission</formula1>
    </dataValidation>
    <dataValidation type="list" showInputMessage="1" showErrorMessage="1" sqref="D10:D12" xr:uid="{B3DBA617-E9DB-6D4C-A028-D99B5461ECC5}">
      <formula1>HeatingType</formula1>
    </dataValidation>
    <dataValidation type="list" showErrorMessage="1" sqref="C4" xr:uid="{2C38D5A6-1613-284D-A7BC-28CB6EFAB6DB}">
      <formula1>GeneralCondition</formula1>
    </dataValidation>
    <dataValidation type="list" allowBlank="1" showErrorMessage="1" sqref="C5" xr:uid="{BB3CA87E-6E65-5B4F-8CCF-CE2FFEAAD3B4}">
      <formula1>Prioritization</formula1>
    </dataValidation>
    <dataValidation type="textLength" operator="lessThanOrEqual" allowBlank="1" showInputMessage="1" showErrorMessage="1" prompt="Max. 1000 Zeichen." sqref="C6:C7" xr:uid="{60279CFC-3674-ED4A-B5F9-88B048420BE0}">
      <formula1>1000</formula1>
    </dataValidation>
    <dataValidation type="list" showInputMessage="1" prompt="Max. 5 Zeichen." sqref="A10:A109" xr:uid="{88750E4E-33C3-F849-B21C-43465DD33CC3}">
      <formula1>WS9ExpertCodes</formula1>
    </dataValidation>
    <dataValidation type="list" showErrorMessage="1" sqref="D10:D12" xr:uid="{B8B51203-9FEB-C545-9446-B53B107FCCF3}">
      <formula1>HeatingType</formula1>
    </dataValidation>
    <dataValidation type="list" showErrorMessage="1" sqref="E10:E12" xr:uid="{A1FD4436-86B1-5E41-8B4A-9FE1F085F8E6}">
      <formula1>HeatEmission</formula1>
    </dataValidation>
    <dataValidation type="list" showErrorMessage="1" sqref="K10:K12" xr:uid="{D46A2B6B-A047-7D4E-A176-A4E00DB5F38A}">
      <formula1>ExpertCodes</formula1>
    </dataValidation>
    <dataValidation type="list" showErrorMessage="1" sqref="L10:L12" xr:uid="{41E55DF2-E562-314B-B4C5-0327E6086B9E}">
      <formula1>PartialBool</formula1>
    </dataValidation>
    <dataValidation type="list" showErrorMessage="1" sqref="O10:O12" xr:uid="{5D2CA1BF-275C-154F-9CC5-A78D10AD09DD}">
      <formula1>HeatingFlows</formula1>
    </dataValidation>
    <dataValidation type="list" showErrorMessage="1" sqref="P10:P12" xr:uid="{F2AB9F5A-357F-024B-886B-0E2DAF6AE34D}">
      <formula1>InOutThermalEnvelope</formula1>
    </dataValidation>
    <dataValidation type="list" showErrorMessage="1" sqref="Q10:Q12" xr:uid="{06B62A2E-7A55-934B-9A8B-88D7D9FD9E0C}">
      <formula1>UnknownBool</formula1>
    </dataValidation>
    <dataValidation type="list" allowBlank="1" showErrorMessage="1" sqref="T10:T109" xr:uid="{4A84DF59-8264-2A4E-A5DA-85E51AF78769}">
      <formula1>CalculationBase_NoMeter</formula1>
    </dataValidation>
    <dataValidation type="textLength" operator="lessThanOrEqual" allowBlank="1" showInputMessage="1" showErrorMessage="1" prompt="Max. 250 Zeichen." sqref="B10:B110" xr:uid="{36BFF42A-ACF3-B34B-8619-13E29A3EC304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6787-723D-1C44-BFDB-A6E7238794BE}">
  <dimension ref="A1:S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9" width="16.6640625" style="1" customWidth="1"/>
    <col min="10" max="10" width="14" style="1" customWidth="1"/>
    <col min="11" max="11" width="14.6640625" style="1" customWidth="1"/>
    <col min="12" max="13" width="16" style="1" customWidth="1"/>
    <col min="14" max="14" width="12.83203125" style="1" customWidth="1"/>
    <col min="15" max="15" width="16.33203125" style="1" customWidth="1"/>
    <col min="16" max="16" width="11" style="1" customWidth="1"/>
    <col min="17" max="17" width="21.5" style="1" customWidth="1"/>
    <col min="18" max="18" width="18.1640625" style="1" customWidth="1"/>
    <col min="19" max="19" width="23.33203125" style="1" customWidth="1"/>
    <col min="20" max="16384" width="9.1640625" style="1"/>
  </cols>
  <sheetData>
    <row r="1" spans="1:19" ht="15" customHeight="1" thickBot="1" x14ac:dyDescent="0.2">
      <c r="A1" s="102" t="s">
        <v>73</v>
      </c>
      <c r="B1" s="72"/>
      <c r="C1" s="72"/>
      <c r="D1" s="72"/>
      <c r="E1" s="72"/>
      <c r="F1" s="72"/>
      <c r="G1" s="72"/>
      <c r="H1" s="72"/>
      <c r="I1" s="72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19" ht="15" customHeight="1" x14ac:dyDescent="0.15">
      <c r="A2" s="18"/>
      <c r="B2" s="33"/>
      <c r="C2" s="18"/>
      <c r="D2" s="34"/>
      <c r="E2" s="22"/>
      <c r="F2" s="22"/>
      <c r="G2" s="34"/>
      <c r="H2" s="18"/>
      <c r="I2" s="18"/>
      <c r="J2" s="18"/>
      <c r="K2" s="18"/>
      <c r="L2" s="18"/>
      <c r="M2" s="18"/>
      <c r="N2" s="18"/>
    </row>
    <row r="3" spans="1:19" ht="15" customHeight="1" x14ac:dyDescent="0.15">
      <c r="A3" s="18"/>
      <c r="B3" s="33"/>
      <c r="C3" s="163" t="s">
        <v>92</v>
      </c>
      <c r="D3" s="164"/>
      <c r="E3" s="22"/>
      <c r="F3" s="22"/>
      <c r="G3" s="34"/>
      <c r="H3" s="18"/>
      <c r="I3" s="18"/>
      <c r="J3" s="18"/>
      <c r="K3" s="18"/>
      <c r="L3" s="18"/>
      <c r="M3" s="18"/>
      <c r="N3" s="18"/>
    </row>
    <row r="4" spans="1:19" ht="15" customHeight="1" x14ac:dyDescent="0.15">
      <c r="A4" s="139" t="s">
        <v>342</v>
      </c>
      <c r="B4" s="167"/>
      <c r="C4" s="160"/>
      <c r="D4" s="160"/>
      <c r="E4" s="22"/>
      <c r="F4" s="22"/>
      <c r="G4" s="34"/>
      <c r="H4" s="18"/>
      <c r="I4" s="18"/>
      <c r="J4" s="18"/>
      <c r="K4" s="18"/>
      <c r="L4" s="18"/>
      <c r="M4" s="18"/>
      <c r="N4" s="18"/>
    </row>
    <row r="5" spans="1:19" ht="15" customHeight="1" x14ac:dyDescent="0.15">
      <c r="A5" s="165" t="s">
        <v>193</v>
      </c>
      <c r="B5" s="166"/>
      <c r="C5" s="160"/>
      <c r="D5" s="160"/>
      <c r="E5" s="22"/>
      <c r="F5" s="18"/>
      <c r="G5" s="18"/>
      <c r="H5" s="18"/>
      <c r="I5" s="18"/>
      <c r="J5" s="18"/>
      <c r="K5" s="18"/>
      <c r="L5" s="18"/>
      <c r="M5" s="18"/>
      <c r="N5" s="18"/>
    </row>
    <row r="6" spans="1:19" ht="62.25" customHeight="1" x14ac:dyDescent="0.15">
      <c r="A6" s="158" t="s">
        <v>18</v>
      </c>
      <c r="B6" s="159"/>
      <c r="C6" s="160"/>
      <c r="D6" s="160"/>
      <c r="E6" s="22"/>
      <c r="F6" s="18"/>
      <c r="G6" s="18"/>
      <c r="H6" s="18"/>
      <c r="I6" s="18"/>
      <c r="J6" s="18"/>
      <c r="K6" s="18"/>
      <c r="L6" s="18"/>
      <c r="M6" s="18"/>
      <c r="N6" s="18"/>
    </row>
    <row r="7" spans="1:19" ht="62.25" customHeight="1" x14ac:dyDescent="0.15">
      <c r="A7" s="158" t="s">
        <v>91</v>
      </c>
      <c r="B7" s="159"/>
      <c r="C7" s="160"/>
      <c r="D7" s="160"/>
      <c r="E7" s="22"/>
      <c r="F7" s="18"/>
      <c r="G7" s="18"/>
      <c r="H7" s="18"/>
      <c r="I7" s="18"/>
      <c r="J7" s="18"/>
      <c r="K7" s="18"/>
      <c r="L7" s="18"/>
      <c r="M7" s="18"/>
      <c r="N7" s="18"/>
    </row>
    <row r="8" spans="1:19" ht="27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9" ht="37.5" customHeight="1" x14ac:dyDescent="0.15">
      <c r="A9" s="95" t="s">
        <v>16</v>
      </c>
      <c r="B9" s="103" t="s">
        <v>27</v>
      </c>
      <c r="C9" s="103" t="s">
        <v>162</v>
      </c>
      <c r="D9" s="103" t="s">
        <v>21</v>
      </c>
      <c r="E9" s="103" t="s">
        <v>122</v>
      </c>
      <c r="F9" s="103" t="s">
        <v>123</v>
      </c>
      <c r="G9" s="103" t="s">
        <v>124</v>
      </c>
      <c r="H9" s="103" t="s">
        <v>125</v>
      </c>
      <c r="I9" s="103" t="s">
        <v>126</v>
      </c>
      <c r="J9" s="103" t="s">
        <v>79</v>
      </c>
      <c r="K9" s="103" t="s">
        <v>127</v>
      </c>
      <c r="L9" s="103" t="s">
        <v>128</v>
      </c>
      <c r="M9" s="103" t="s">
        <v>170</v>
      </c>
      <c r="N9" s="95" t="s">
        <v>71</v>
      </c>
      <c r="O9" s="95" t="s">
        <v>204</v>
      </c>
      <c r="P9" s="95" t="s">
        <v>205</v>
      </c>
      <c r="Q9" s="95" t="s">
        <v>196</v>
      </c>
      <c r="R9" s="95" t="s">
        <v>197</v>
      </c>
      <c r="S9" s="95" t="s">
        <v>201</v>
      </c>
    </row>
    <row r="10" spans="1:19" ht="15" customHeight="1" x14ac:dyDescent="0.15">
      <c r="A10" s="18"/>
      <c r="B10" s="18"/>
      <c r="C10" s="18"/>
      <c r="D10" s="18"/>
      <c r="E10" s="38"/>
      <c r="F10" s="38"/>
      <c r="G10" s="38"/>
      <c r="H10" s="38"/>
      <c r="I10" s="39"/>
      <c r="J10" s="18"/>
      <c r="K10" s="18"/>
      <c r="L10" s="18"/>
      <c r="M10" s="18"/>
      <c r="N10" s="18"/>
    </row>
    <row r="11" spans="1:19" ht="15" customHeight="1" x14ac:dyDescent="0.15">
      <c r="A11" s="18"/>
      <c r="B11" s="18"/>
      <c r="C11" s="18"/>
      <c r="D11" s="18"/>
      <c r="E11" s="38"/>
      <c r="F11" s="38"/>
      <c r="G11" s="38"/>
      <c r="H11" s="38"/>
      <c r="I11" s="39"/>
      <c r="J11" s="18"/>
      <c r="K11" s="18"/>
      <c r="L11" s="18"/>
      <c r="M11" s="18"/>
      <c r="N11" s="18"/>
    </row>
    <row r="12" spans="1:19" ht="15" customHeight="1" x14ac:dyDescent="0.15">
      <c r="A12" s="18"/>
      <c r="B12" s="18"/>
      <c r="C12" s="18"/>
      <c r="D12" s="18"/>
      <c r="E12" s="38"/>
      <c r="F12" s="38"/>
      <c r="G12" s="38"/>
      <c r="H12" s="38"/>
      <c r="I12" s="39"/>
      <c r="J12" s="18"/>
      <c r="K12" s="18"/>
      <c r="L12" s="18"/>
      <c r="M12" s="18"/>
      <c r="N12" s="18"/>
    </row>
  </sheetData>
  <mergeCells count="9">
    <mergeCell ref="C4:D4"/>
    <mergeCell ref="A7:B7"/>
    <mergeCell ref="C7:D7"/>
    <mergeCell ref="C3:D3"/>
    <mergeCell ref="A5:B5"/>
    <mergeCell ref="C5:D5"/>
    <mergeCell ref="A6:B6"/>
    <mergeCell ref="C6:D6"/>
    <mergeCell ref="A4:B4"/>
  </mergeCells>
  <conditionalFormatting sqref="A10:N12 S10:S12">
    <cfRule type="expression" dxfId="21" priority="2">
      <formula>AND(COUNTA($A10:$S10)&gt;0,ISBLANK(A10))</formula>
    </cfRule>
  </conditionalFormatting>
  <conditionalFormatting sqref="A10:N12">
    <cfRule type="expression" dxfId="20" priority="12" stopIfTrue="1">
      <formula>AND(COUNTA($A10:$N10)&gt;0,ISBLANK(A10))</formula>
    </cfRule>
  </conditionalFormatting>
  <conditionalFormatting sqref="C4">
    <cfRule type="containsBlanks" dxfId="19" priority="10">
      <formula>LEN(TRIM(C4))=0</formula>
    </cfRule>
  </conditionalFormatting>
  <conditionalFormatting sqref="C5">
    <cfRule type="expression" dxfId="18" priority="11" stopIfTrue="1">
      <formula>LEN(TRIM(C5))=0</formula>
    </cfRule>
  </conditionalFormatting>
  <dataValidations count="13">
    <dataValidation type="list" showInputMessage="1" showErrorMessage="1" sqref="D10:D12" xr:uid="{8F1442ED-4956-124B-92E4-1BB8DC4D653A}">
      <formula1>HeatingType</formula1>
    </dataValidation>
    <dataValidation type="list" showInputMessage="1" showErrorMessage="1" sqref="N10:N12" xr:uid="{1F752EE6-4146-8E42-ABDB-60F6214DF4EF}">
      <formula1>InOutThermalEnvelope</formula1>
    </dataValidation>
    <dataValidation type="list" showInputMessage="1" showErrorMessage="1" sqref="M10" xr:uid="{D81A5EDE-53E9-A344-9819-903250A7D88F}">
      <formula1>WarmWaterWarmKeeping</formula1>
    </dataValidation>
    <dataValidation type="list" showErrorMessage="1" sqref="C4" xr:uid="{9F53B5EF-23D2-1144-A0AF-C60F36236C30}">
      <formula1>GeneralCondition</formula1>
    </dataValidation>
    <dataValidation type="list" allowBlank="1" showErrorMessage="1" sqref="C5" xr:uid="{14D7DE69-3B4D-3E45-9B80-F13A6E010A0B}">
      <formula1>Prioritization</formula1>
    </dataValidation>
    <dataValidation type="textLength" operator="lessThanOrEqual" allowBlank="1" showInputMessage="1" showErrorMessage="1" prompt="Max. 1000 Zeichen." sqref="C6:C7" xr:uid="{C55DAC97-6229-8C44-AA65-5249860922F6}">
      <formula1>1000</formula1>
    </dataValidation>
    <dataValidation type="list" showInputMessage="1" prompt="Max. 5 Zeichen." sqref="A10:A109" xr:uid="{3556CF03-227C-F64D-8502-0192F2EF283D}">
      <formula1>WS10ExpertCodes</formula1>
    </dataValidation>
    <dataValidation type="list" showErrorMessage="1" sqref="D10:D12" xr:uid="{D24EB2B1-A265-2847-94C7-747C6A4313DD}">
      <formula1>HeatingType</formula1>
    </dataValidation>
    <dataValidation type="list" showErrorMessage="1" sqref="J10:J12" xr:uid="{A0172A37-15CC-8D44-B9BA-D9E159317E30}">
      <formula1>PartialBool</formula1>
    </dataValidation>
    <dataValidation type="list" showErrorMessage="1" sqref="M10:M12" xr:uid="{AAE4D8AD-19D6-794B-9E52-E03493753710}">
      <formula1>WarmWaterWarmKeeping</formula1>
    </dataValidation>
    <dataValidation type="list" showErrorMessage="1" sqref="N10:N12" xr:uid="{85318524-8C44-EB45-8FCC-8DFAD382F3A2}">
      <formula1>InOutThermalEnvelope</formula1>
    </dataValidation>
    <dataValidation type="list" showErrorMessage="1" sqref="Q10:Q12" xr:uid="{BB23DBC8-7411-1D4D-BF65-60C9648CC85F}">
      <formula1>CalculationBase_NoMeter</formula1>
    </dataValidation>
    <dataValidation type="textLength" operator="lessThanOrEqual" allowBlank="1" showInputMessage="1" showErrorMessage="1" prompt="Max. 250 Zeichen." sqref="B10:B110" xr:uid="{ACD8DB75-8F2C-A242-A0D7-95BAB84EC948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EF8-FCAD-6A49-84EA-704A71F33D02}">
  <sheetPr codeName="Sheet10"/>
  <dimension ref="A1:E8"/>
  <sheetViews>
    <sheetView zoomScaleNormal="100" workbookViewId="0"/>
  </sheetViews>
  <sheetFormatPr baseColWidth="10" defaultColWidth="9.1640625" defaultRowHeight="15" customHeight="1" x14ac:dyDescent="0.15"/>
  <cols>
    <col min="1" max="1" width="23.5" style="1" customWidth="1"/>
    <col min="2" max="2" width="19.1640625" style="1" bestFit="1" customWidth="1"/>
    <col min="3" max="3" width="21.6640625" style="1" customWidth="1"/>
    <col min="4" max="4" width="15.6640625" style="1" customWidth="1"/>
    <col min="5" max="5" width="20.6640625" style="1" customWidth="1"/>
    <col min="6" max="6" width="19.5" style="1" bestFit="1" customWidth="1"/>
    <col min="7" max="16384" width="9.1640625" style="1"/>
  </cols>
  <sheetData>
    <row r="1" spans="1:5" ht="15" customHeight="1" thickBot="1" x14ac:dyDescent="0.2">
      <c r="A1" s="170" t="s">
        <v>130</v>
      </c>
      <c r="B1" s="171"/>
      <c r="C1" s="171"/>
      <c r="D1" s="171"/>
      <c r="E1" s="172"/>
    </row>
    <row r="3" spans="1:5" s="26" customFormat="1" ht="34.5" customHeight="1" x14ac:dyDescent="0.15">
      <c r="A3" s="101" t="s">
        <v>28</v>
      </c>
      <c r="B3" s="101" t="s">
        <v>64</v>
      </c>
      <c r="C3" s="101" t="s">
        <v>34</v>
      </c>
      <c r="D3" s="101" t="s">
        <v>39</v>
      </c>
      <c r="E3" s="101" t="s">
        <v>40</v>
      </c>
    </row>
    <row r="4" spans="1:5" ht="15" customHeight="1" x14ac:dyDescent="0.15">
      <c r="B4" s="19"/>
      <c r="D4" s="20"/>
      <c r="E4" s="20"/>
    </row>
    <row r="5" spans="1:5" ht="15" customHeight="1" x14ac:dyDescent="0.15">
      <c r="B5" s="19"/>
      <c r="D5" s="20"/>
      <c r="E5" s="20"/>
    </row>
    <row r="6" spans="1:5" ht="15" customHeight="1" x14ac:dyDescent="0.15">
      <c r="B6" s="19"/>
      <c r="D6" s="20"/>
      <c r="E6" s="20"/>
    </row>
    <row r="7" spans="1:5" ht="15" customHeight="1" x14ac:dyDescent="0.15">
      <c r="B7" s="19"/>
      <c r="D7" s="20"/>
      <c r="E7" s="20"/>
    </row>
    <row r="8" spans="1:5" ht="15" customHeight="1" x14ac:dyDescent="0.15">
      <c r="B8" s="19"/>
      <c r="D8" s="20"/>
      <c r="E8" s="20"/>
    </row>
  </sheetData>
  <mergeCells count="1">
    <mergeCell ref="A1:E1"/>
  </mergeCells>
  <conditionalFormatting sqref="A4:E8">
    <cfRule type="expression" dxfId="17" priority="1">
      <formula>AND(COUNTA($A4:$E4)&gt;0,ISBLANK(A4))</formula>
    </cfRule>
  </conditionalFormatting>
  <dataValidations count="2">
    <dataValidation type="list" showErrorMessage="1" sqref="A4:A8" xr:uid="{141EF199-1383-1546-B0F4-7853C645752D}">
      <formula1>EnergySources</formula1>
    </dataValidation>
    <dataValidation type="list" showErrorMessage="1" sqref="C4:C8" xr:uid="{6F442049-7D1F-B54A-9468-D539CD944145}">
      <formula1>HeatUnit</formula1>
    </dataValidation>
  </dataValidations>
  <pageMargins left="0.7" right="0.7" top="0.75" bottom="0.75" header="0.3" footer="0.3"/>
  <pageSetup paperSize="9" orientation="portrait" verticalDpi="300"/>
</worksheet>
</file>

<file path=xl/worksheets/sheet1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9DBE-DCCF-444C-A35C-B6BA6D61DA7F}">
  <sheetPr codeName="Sheet11"/>
  <dimension ref="A1:P25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2" width="30" style="1" customWidth="1"/>
    <col min="3" max="3" width="22.33203125" style="1" customWidth="1"/>
    <col min="4" max="4" width="31.83203125" style="1" customWidth="1"/>
    <col min="5" max="5" width="14.83203125" style="1" customWidth="1"/>
    <col min="6" max="6" width="16.83203125" style="1" customWidth="1"/>
    <col min="7" max="7" width="15.83203125" style="1" customWidth="1"/>
    <col min="8" max="10" width="9.6640625" style="1" customWidth="1"/>
    <col min="11" max="11" width="8.1640625" style="1" bestFit="1" customWidth="1"/>
    <col min="12" max="12" width="15.5" style="1" customWidth="1"/>
    <col min="13" max="13" width="18.33203125" style="1" customWidth="1"/>
    <col min="14" max="14" width="13.33203125" style="1" customWidth="1"/>
    <col min="15" max="15" width="21.83203125" style="1" customWidth="1"/>
    <col min="16" max="16" width="20.83203125" style="1" customWidth="1"/>
    <col min="17" max="16384" width="9.1640625" style="1"/>
  </cols>
  <sheetData>
    <row r="1" spans="1:16" s="173" customFormat="1" ht="15" customHeight="1" thickBot="1" x14ac:dyDescent="0.2">
      <c r="A1" s="153" t="s">
        <v>59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1:16" ht="15" customHeight="1" x14ac:dyDescent="0.15">
      <c r="H2" s="21"/>
    </row>
    <row r="3" spans="1:16" ht="15" customHeight="1" x14ac:dyDescent="0.15">
      <c r="A3" s="139" t="s">
        <v>342</v>
      </c>
      <c r="B3" s="167"/>
      <c r="C3" s="160"/>
      <c r="D3" s="160"/>
      <c r="E3" s="160"/>
      <c r="H3" s="21"/>
    </row>
    <row r="4" spans="1:16" ht="15" customHeight="1" x14ac:dyDescent="0.15">
      <c r="A4" s="132" t="s">
        <v>193</v>
      </c>
      <c r="B4" s="183"/>
      <c r="C4" s="174"/>
      <c r="D4" s="175"/>
      <c r="E4" s="176"/>
      <c r="H4" s="21"/>
    </row>
    <row r="5" spans="1:16" ht="62.25" customHeight="1" x14ac:dyDescent="0.15">
      <c r="A5" s="145" t="s">
        <v>18</v>
      </c>
      <c r="B5" s="184"/>
      <c r="C5" s="177"/>
      <c r="D5" s="178"/>
      <c r="E5" s="179"/>
      <c r="H5" s="21"/>
    </row>
    <row r="6" spans="1:16" ht="62.25" customHeight="1" x14ac:dyDescent="0.15">
      <c r="A6" s="145" t="s">
        <v>91</v>
      </c>
      <c r="B6" s="184"/>
      <c r="C6" s="177"/>
      <c r="D6" s="178"/>
      <c r="E6" s="179"/>
      <c r="H6" s="21"/>
    </row>
    <row r="7" spans="1:16" ht="15" customHeight="1" x14ac:dyDescent="0.15">
      <c r="H7" s="21"/>
    </row>
    <row r="8" spans="1:16" ht="15" customHeight="1" x14ac:dyDescent="0.15">
      <c r="H8" s="180" t="s">
        <v>67</v>
      </c>
      <c r="I8" s="181"/>
      <c r="J8" s="182"/>
    </row>
    <row r="9" spans="1:16" s="26" customFormat="1" ht="34.5" customHeight="1" x14ac:dyDescent="0.15">
      <c r="A9" s="95" t="s">
        <v>16</v>
      </c>
      <c r="B9" s="104" t="s">
        <v>27</v>
      </c>
      <c r="C9" s="104" t="s">
        <v>161</v>
      </c>
      <c r="D9" s="104" t="s">
        <v>21</v>
      </c>
      <c r="E9" s="104" t="s">
        <v>53</v>
      </c>
      <c r="F9" s="104" t="s">
        <v>54</v>
      </c>
      <c r="G9" s="104" t="s">
        <v>201</v>
      </c>
      <c r="H9" s="104" t="s">
        <v>68</v>
      </c>
      <c r="I9" s="104" t="s">
        <v>69</v>
      </c>
      <c r="J9" s="104" t="s">
        <v>70</v>
      </c>
      <c r="K9" s="104" t="s">
        <v>119</v>
      </c>
      <c r="L9" s="104" t="s">
        <v>718</v>
      </c>
      <c r="M9" s="95" t="s">
        <v>204</v>
      </c>
      <c r="N9" s="95" t="s">
        <v>205</v>
      </c>
      <c r="O9" s="95" t="s">
        <v>196</v>
      </c>
      <c r="P9" s="95" t="s">
        <v>197</v>
      </c>
    </row>
    <row r="10" spans="1:16" ht="15" customHeight="1" x14ac:dyDescent="0.15">
      <c r="F10" s="19"/>
      <c r="G10" s="19"/>
      <c r="H10" s="21"/>
      <c r="I10" s="21"/>
      <c r="J10" s="21"/>
      <c r="K10" s="3"/>
    </row>
    <row r="11" spans="1:16" ht="15" customHeight="1" x14ac:dyDescent="0.15">
      <c r="F11" s="19"/>
      <c r="G11" s="19"/>
      <c r="H11" s="21"/>
      <c r="I11" s="21"/>
      <c r="J11" s="21"/>
      <c r="K11" s="3"/>
    </row>
    <row r="12" spans="1:16" ht="15" customHeight="1" x14ac:dyDescent="0.15">
      <c r="F12" s="19"/>
      <c r="G12" s="19"/>
      <c r="H12" s="21"/>
      <c r="I12" s="21"/>
      <c r="J12" s="21"/>
      <c r="K12" s="3"/>
    </row>
    <row r="13" spans="1:16" ht="15" customHeight="1" x14ac:dyDescent="0.15">
      <c r="F13" s="19"/>
      <c r="G13" s="19"/>
      <c r="H13" s="21"/>
      <c r="I13" s="21"/>
      <c r="J13" s="21"/>
      <c r="K13" s="3"/>
    </row>
    <row r="14" spans="1:16" ht="15" customHeight="1" x14ac:dyDescent="0.15">
      <c r="F14" s="19"/>
      <c r="G14" s="19"/>
      <c r="H14" s="21"/>
      <c r="I14" s="21"/>
      <c r="J14" s="21"/>
      <c r="K14" s="3"/>
    </row>
    <row r="15" spans="1:16" ht="15" customHeight="1" x14ac:dyDescent="0.15">
      <c r="F15" s="19"/>
      <c r="G15" s="19"/>
      <c r="H15" s="21"/>
      <c r="I15" s="21"/>
      <c r="J15" s="21"/>
      <c r="K15" s="3"/>
    </row>
    <row r="16" spans="1:16" ht="15" customHeight="1" x14ac:dyDescent="0.15">
      <c r="F16" s="19"/>
      <c r="G16" s="19"/>
      <c r="H16" s="21"/>
      <c r="I16" s="21"/>
      <c r="J16" s="21"/>
      <c r="K16" s="3"/>
    </row>
    <row r="17" spans="6:11" ht="15" customHeight="1" x14ac:dyDescent="0.15">
      <c r="F17" s="19"/>
      <c r="G17" s="19"/>
      <c r="H17" s="21"/>
      <c r="I17" s="21"/>
      <c r="J17" s="21"/>
      <c r="K17" s="3"/>
    </row>
    <row r="18" spans="6:11" ht="15" customHeight="1" x14ac:dyDescent="0.15">
      <c r="F18" s="19"/>
      <c r="G18" s="19"/>
      <c r="H18" s="21"/>
      <c r="I18" s="21"/>
      <c r="J18" s="21"/>
      <c r="K18" s="3"/>
    </row>
    <row r="19" spans="6:11" ht="15" customHeight="1" x14ac:dyDescent="0.15">
      <c r="F19" s="19"/>
      <c r="G19" s="19"/>
      <c r="H19" s="21"/>
      <c r="I19" s="21"/>
      <c r="J19" s="21"/>
      <c r="K19" s="3"/>
    </row>
    <row r="20" spans="6:11" ht="15" customHeight="1" x14ac:dyDescent="0.15">
      <c r="F20" s="19"/>
      <c r="G20" s="19"/>
      <c r="H20" s="21"/>
      <c r="I20" s="21"/>
      <c r="J20" s="21"/>
      <c r="K20" s="3"/>
    </row>
    <row r="21" spans="6:11" ht="15" customHeight="1" x14ac:dyDescent="0.15">
      <c r="F21" s="19"/>
      <c r="G21" s="19"/>
      <c r="H21" s="21"/>
      <c r="I21" s="21"/>
      <c r="J21" s="21"/>
      <c r="K21" s="3"/>
    </row>
    <row r="22" spans="6:11" ht="15" customHeight="1" x14ac:dyDescent="0.15">
      <c r="F22" s="19"/>
      <c r="G22" s="19"/>
      <c r="H22" s="21"/>
      <c r="I22" s="21"/>
      <c r="J22" s="21"/>
      <c r="K22" s="3"/>
    </row>
    <row r="23" spans="6:11" ht="15" customHeight="1" x14ac:dyDescent="0.15">
      <c r="F23" s="19"/>
      <c r="G23" s="19"/>
      <c r="H23" s="21"/>
      <c r="I23" s="21"/>
      <c r="J23" s="21"/>
      <c r="K23" s="3"/>
    </row>
    <row r="24" spans="6:11" ht="15" customHeight="1" x14ac:dyDescent="0.15">
      <c r="F24" s="19"/>
      <c r="G24" s="19"/>
      <c r="H24" s="21"/>
      <c r="I24" s="21"/>
      <c r="J24" s="21"/>
      <c r="K24" s="3"/>
    </row>
    <row r="25" spans="6:11" ht="15" customHeight="1" x14ac:dyDescent="0.15">
      <c r="F25" s="19"/>
      <c r="G25" s="19"/>
      <c r="H25" s="21"/>
      <c r="I25" s="21"/>
      <c r="J25" s="21"/>
      <c r="K25" s="3"/>
    </row>
  </sheetData>
  <mergeCells count="10">
    <mergeCell ref="H8:J8"/>
    <mergeCell ref="A4:B4"/>
    <mergeCell ref="A5:B5"/>
    <mergeCell ref="A6:B6"/>
    <mergeCell ref="A3:B3"/>
    <mergeCell ref="A1:XFD1"/>
    <mergeCell ref="C3:E3"/>
    <mergeCell ref="C4:E4"/>
    <mergeCell ref="C5:E5"/>
    <mergeCell ref="C6:E6"/>
  </mergeCells>
  <conditionalFormatting sqref="A10:L109">
    <cfRule type="expression" dxfId="16" priority="1">
      <formula>AND(COUNTA($A10:$P10)&gt;0,ISBLANK(A10))</formula>
    </cfRule>
  </conditionalFormatting>
  <conditionalFormatting sqref="C3">
    <cfRule type="containsBlanks" dxfId="15" priority="2">
      <formula>LEN(TRIM(C3))=0</formula>
    </cfRule>
  </conditionalFormatting>
  <dataValidations count="11">
    <dataValidation type="textLength" operator="lessThan" allowBlank="1" showInputMessage="1" showErrorMessage="1" prompt="Max. 220 Zeichen. BItte ohne Sonderzeichen wie  ;  /  " sqref="F6" xr:uid="{85722CF4-3B2F-FE43-B091-09A437AA16AB}">
      <formula1>220</formula1>
    </dataValidation>
    <dataValidation type="list" showErrorMessage="1" sqref="C3" xr:uid="{B25BB084-FDC6-0F48-B7D9-460E94EA4323}">
      <formula1>GeneralCondition</formula1>
    </dataValidation>
    <dataValidation type="list" allowBlank="1" showErrorMessage="1" sqref="C4" xr:uid="{4FDFEA8E-579F-8946-9C44-B956B51DEEC0}">
      <formula1>Prioritization</formula1>
    </dataValidation>
    <dataValidation type="textLength" operator="lessThanOrEqual" allowBlank="1" showInputMessage="1" showErrorMessage="1" prompt="Max. 1000 Zeichen." sqref="C5:C6" xr:uid="{6EC1DAE9-2556-414A-8A51-F34A2BE84461}">
      <formula1>1000</formula1>
    </dataValidation>
    <dataValidation type="list" showInputMessage="1" prompt="Max. 5 Zeichen." sqref="A10:A109" xr:uid="{BF806DED-CE1C-CA4E-9922-8547C1C8BF9C}">
      <formula1>WS12ExpertCodes</formula1>
    </dataValidation>
    <dataValidation type="list" showErrorMessage="1" sqref="C10:C100" xr:uid="{D2E72807-A6D2-7A46-95DD-39778EFC1B7F}">
      <formula1>BuildingUsageTypeSelection</formula1>
    </dataValidation>
    <dataValidation type="list" showErrorMessage="1" sqref="D10:D100" xr:uid="{9677DA70-4B16-C941-935E-97BE51C9A910}">
      <formula1>Devices</formula1>
    </dataValidation>
    <dataValidation type="list" showErrorMessage="1" sqref="E10:E109" xr:uid="{90F80E8E-39F8-FB4F-ABD0-402A7351A6F2}">
      <formula1>DeviceQuality</formula1>
    </dataValidation>
    <dataValidation type="list" showErrorMessage="1" sqref="L10:L109" xr:uid="{154999BF-C3A8-1F42-858F-28613652A945}">
      <formula1>Boolean</formula1>
    </dataValidation>
    <dataValidation type="list" allowBlank="1" showErrorMessage="1" sqref="O10:O109" xr:uid="{4AF9E282-C1B0-1945-8C52-C59E149163D0}">
      <formula1>CalculationBase_NoMeter</formula1>
    </dataValidation>
    <dataValidation type="textLength" operator="lessThanOrEqual" allowBlank="1" showInputMessage="1" showErrorMessage="1" prompt="Max. 250 Zeichen." sqref="B10:B110" xr:uid="{F2A17859-C0C2-354E-96C2-4940CEFDA8CB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FEE3-44BD-8F41-A94C-8306383B7F05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6" width="14.83203125" style="1" customWidth="1"/>
    <col min="7" max="7" width="15.83203125" style="1" customWidth="1"/>
    <col min="8" max="10" width="9.6640625" style="1" customWidth="1"/>
    <col min="11" max="12" width="15.5" style="1" customWidth="1"/>
    <col min="13" max="13" width="12.33203125" style="1" customWidth="1"/>
    <col min="14" max="14" width="19.5" style="1" customWidth="1"/>
    <col min="15" max="15" width="15" style="1" customWidth="1"/>
    <col min="16" max="16384" width="9.1640625" style="1"/>
  </cols>
  <sheetData>
    <row r="1" spans="1:15" s="173" customFormat="1" ht="15" customHeight="1" thickBot="1" x14ac:dyDescent="0.2">
      <c r="A1" s="153" t="s">
        <v>133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ht="15" customHeight="1" x14ac:dyDescent="0.15">
      <c r="H2" s="21"/>
    </row>
    <row r="3" spans="1:15" ht="37.5" customHeight="1" x14ac:dyDescent="0.15">
      <c r="A3" s="40"/>
      <c r="H3" s="185" t="s">
        <v>67</v>
      </c>
      <c r="I3" s="181"/>
      <c r="J3" s="182"/>
    </row>
    <row r="4" spans="1:15" s="26" customFormat="1" ht="34.5" customHeight="1" x14ac:dyDescent="0.15">
      <c r="A4" s="95" t="s">
        <v>16</v>
      </c>
      <c r="B4" s="104" t="s">
        <v>27</v>
      </c>
      <c r="C4" s="104" t="s">
        <v>161</v>
      </c>
      <c r="D4" s="104" t="s">
        <v>21</v>
      </c>
      <c r="E4" s="104" t="s">
        <v>162</v>
      </c>
      <c r="F4" s="104" t="s">
        <v>56</v>
      </c>
      <c r="G4" s="104" t="s">
        <v>201</v>
      </c>
      <c r="H4" s="104" t="s">
        <v>68</v>
      </c>
      <c r="I4" s="104" t="s">
        <v>69</v>
      </c>
      <c r="J4" s="104" t="s">
        <v>70</v>
      </c>
      <c r="K4" s="104" t="s">
        <v>718</v>
      </c>
      <c r="L4" s="95" t="s">
        <v>204</v>
      </c>
      <c r="M4" s="95" t="s">
        <v>205</v>
      </c>
      <c r="N4" s="95" t="s">
        <v>196</v>
      </c>
      <c r="O4" s="95" t="s">
        <v>197</v>
      </c>
    </row>
    <row r="5" spans="1:15" ht="15" customHeight="1" x14ac:dyDescent="0.15">
      <c r="G5" s="19"/>
      <c r="H5" s="21"/>
      <c r="I5" s="21"/>
      <c r="J5" s="21"/>
    </row>
    <row r="6" spans="1:15" ht="15" customHeight="1" x14ac:dyDescent="0.15">
      <c r="G6" s="19"/>
      <c r="H6" s="21"/>
      <c r="I6" s="21"/>
      <c r="J6" s="21"/>
    </row>
    <row r="7" spans="1:15" ht="15" customHeight="1" x14ac:dyDescent="0.15">
      <c r="G7" s="19"/>
      <c r="H7" s="21"/>
      <c r="I7" s="21"/>
      <c r="J7" s="21"/>
    </row>
    <row r="8" spans="1:15" ht="15" customHeight="1" x14ac:dyDescent="0.15">
      <c r="G8" s="19"/>
      <c r="H8" s="21"/>
      <c r="I8" s="21"/>
      <c r="J8" s="21"/>
    </row>
    <row r="9" spans="1:15" ht="15" customHeight="1" x14ac:dyDescent="0.15">
      <c r="G9" s="19"/>
      <c r="H9" s="21"/>
      <c r="I9" s="21"/>
      <c r="J9" s="21"/>
    </row>
    <row r="10" spans="1:15" ht="15" customHeight="1" x14ac:dyDescent="0.15">
      <c r="G10" s="19"/>
      <c r="H10" s="21"/>
      <c r="I10" s="21"/>
      <c r="J10" s="21"/>
    </row>
    <row r="11" spans="1:15" ht="15" customHeight="1" x14ac:dyDescent="0.15">
      <c r="G11" s="19"/>
      <c r="H11" s="21"/>
      <c r="I11" s="21"/>
      <c r="J11" s="21"/>
    </row>
    <row r="12" spans="1:15" ht="15" customHeight="1" x14ac:dyDescent="0.15">
      <c r="G12" s="19"/>
      <c r="H12" s="21"/>
      <c r="I12" s="21"/>
      <c r="J12" s="21"/>
    </row>
    <row r="13" spans="1:15" ht="15" customHeight="1" x14ac:dyDescent="0.15">
      <c r="G13" s="19"/>
      <c r="H13" s="21"/>
      <c r="I13" s="21"/>
      <c r="J13" s="21"/>
    </row>
    <row r="14" spans="1:15" ht="15" customHeight="1" x14ac:dyDescent="0.15">
      <c r="G14" s="19"/>
      <c r="H14" s="21"/>
      <c r="I14" s="21"/>
      <c r="J14" s="21"/>
    </row>
    <row r="15" spans="1:15" ht="15" customHeight="1" x14ac:dyDescent="0.15">
      <c r="G15" s="19"/>
      <c r="H15" s="21"/>
      <c r="I15" s="21"/>
      <c r="J15" s="21"/>
    </row>
    <row r="16" spans="1:15" ht="15" customHeight="1" x14ac:dyDescent="0.15">
      <c r="G16" s="19"/>
      <c r="H16" s="21"/>
      <c r="I16" s="21"/>
      <c r="J16" s="21"/>
    </row>
    <row r="17" spans="7:10" ht="15" customHeight="1" x14ac:dyDescent="0.15">
      <c r="G17" s="19"/>
      <c r="H17" s="21"/>
      <c r="I17" s="21"/>
      <c r="J17" s="21"/>
    </row>
    <row r="18" spans="7:10" ht="15" customHeight="1" x14ac:dyDescent="0.15">
      <c r="G18" s="19"/>
      <c r="H18" s="21"/>
      <c r="I18" s="21"/>
      <c r="J18" s="21"/>
    </row>
    <row r="19" spans="7:10" ht="15" customHeight="1" x14ac:dyDescent="0.15">
      <c r="G19" s="19"/>
      <c r="H19" s="21"/>
      <c r="I19" s="21"/>
      <c r="J19" s="21"/>
    </row>
    <row r="20" spans="7:10" ht="15" customHeight="1" x14ac:dyDescent="0.15">
      <c r="G20" s="19"/>
      <c r="H20" s="21"/>
      <c r="I20" s="21"/>
      <c r="J20" s="21"/>
    </row>
    <row r="21" spans="7:10" ht="15" customHeight="1" x14ac:dyDescent="0.15">
      <c r="G21" s="19"/>
      <c r="H21" s="21"/>
      <c r="I21" s="21"/>
      <c r="J21" s="21"/>
    </row>
    <row r="22" spans="7:10" ht="15" customHeight="1" x14ac:dyDescent="0.15">
      <c r="G22" s="19"/>
      <c r="H22" s="21"/>
      <c r="I22" s="21"/>
      <c r="J22" s="21"/>
    </row>
    <row r="23" spans="7:10" ht="15" customHeight="1" x14ac:dyDescent="0.15">
      <c r="G23" s="19"/>
      <c r="H23" s="21"/>
      <c r="I23" s="21"/>
      <c r="J23" s="21"/>
    </row>
    <row r="24" spans="7:10" ht="15" customHeight="1" x14ac:dyDescent="0.15">
      <c r="G24" s="19"/>
      <c r="H24" s="21"/>
      <c r="I24" s="21"/>
      <c r="J24" s="21"/>
    </row>
  </sheetData>
  <mergeCells count="2">
    <mergeCell ref="H3:J3"/>
    <mergeCell ref="A1:XFD1"/>
  </mergeCells>
  <conditionalFormatting sqref="A5:K104">
    <cfRule type="expression" dxfId="14" priority="1">
      <formula>AND(COUNTA($A5:$O5)&gt;0,ISBLANK(A5))</formula>
    </cfRule>
  </conditionalFormatting>
  <dataValidations count="7">
    <dataValidation type="list" showInputMessage="1" prompt="Max. 5 Zeichen." sqref="A5:A104" xr:uid="{D909B91E-6B26-1B44-82FB-C8FA85D861A5}">
      <formula1>WS13ExpertCodes</formula1>
    </dataValidation>
    <dataValidation type="list" showErrorMessage="1" sqref="C5:C100" xr:uid="{146D215F-A3D0-A147-BB50-1F1DC8EDAB89}">
      <formula1>BuildingUsageTypeSelection</formula1>
    </dataValidation>
    <dataValidation type="list" showErrorMessage="1" sqref="D5:D104" xr:uid="{630A4EDD-0DF3-C246-9CC0-989F618F6769}">
      <formula1>INDIRECT(SUBSTITUTE(SUBSTITUTE(SUBSTITUTE(C5," ",""),".",""),"/",""))</formula1>
    </dataValidation>
    <dataValidation type="list" showErrorMessage="1" sqref="F5:F104" xr:uid="{14E17337-1189-3542-88A2-6108536DC8A7}">
      <formula1>ExpansionDegrees</formula1>
    </dataValidation>
    <dataValidation type="list" showErrorMessage="1" sqref="K5:K104" xr:uid="{0244C158-DE65-F04B-A6E6-D62567838EEC}">
      <formula1>Boolean</formula1>
    </dataValidation>
    <dataValidation type="list" showErrorMessage="1" sqref="N5:N104" xr:uid="{CF9AF770-3C47-C04D-B20B-F71FA284619F}">
      <formula1>CalculationBase_NoMeter</formula1>
    </dataValidation>
    <dataValidation type="textLength" operator="lessThanOrEqual" allowBlank="1" showInputMessage="1" showErrorMessage="1" prompt="Max. 250 Zeichen." sqref="B5:B105" xr:uid="{9640DB84-0F23-1F46-B677-20A03596D105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9CD6-C210-BC49-96E5-5A345CEE9B34}">
  <dimension ref="A1:P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7" width="14.83203125" style="1" customWidth="1"/>
    <col min="8" max="8" width="15.83203125" style="1" customWidth="1"/>
    <col min="9" max="11" width="9.6640625" style="1" customWidth="1"/>
    <col min="12" max="12" width="15.5" style="1" customWidth="1"/>
    <col min="13" max="13" width="16.5" style="1" customWidth="1"/>
    <col min="14" max="14" width="11.5" style="1" customWidth="1"/>
    <col min="15" max="15" width="23.5" style="1" customWidth="1"/>
    <col min="16" max="16" width="14.6640625" style="1" customWidth="1"/>
    <col min="17" max="16384" width="9.1640625" style="1"/>
  </cols>
  <sheetData>
    <row r="1" spans="1:16" s="173" customFormat="1" ht="15" customHeight="1" thickBot="1" x14ac:dyDescent="0.2">
      <c r="A1" s="153" t="s">
        <v>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2" spans="1:16" ht="15" customHeight="1" x14ac:dyDescent="0.15">
      <c r="I2" s="21"/>
    </row>
    <row r="3" spans="1:16" ht="33" customHeight="1" x14ac:dyDescent="0.15">
      <c r="A3" s="40"/>
      <c r="I3" s="185" t="s">
        <v>67</v>
      </c>
      <c r="J3" s="181"/>
      <c r="K3" s="182"/>
    </row>
    <row r="4" spans="1:16" s="26" customFormat="1" ht="34.5" customHeight="1" x14ac:dyDescent="0.15">
      <c r="A4" s="95" t="s">
        <v>16</v>
      </c>
      <c r="B4" s="104" t="s">
        <v>27</v>
      </c>
      <c r="C4" s="104" t="s">
        <v>161</v>
      </c>
      <c r="D4" s="104" t="s">
        <v>21</v>
      </c>
      <c r="E4" s="104" t="s">
        <v>162</v>
      </c>
      <c r="F4" s="104" t="s">
        <v>56</v>
      </c>
      <c r="G4" s="104" t="s">
        <v>53</v>
      </c>
      <c r="H4" s="104" t="s">
        <v>201</v>
      </c>
      <c r="I4" s="104" t="s">
        <v>68</v>
      </c>
      <c r="J4" s="104" t="s">
        <v>69</v>
      </c>
      <c r="K4" s="104" t="s">
        <v>70</v>
      </c>
      <c r="L4" s="104" t="s">
        <v>718</v>
      </c>
      <c r="M4" s="95" t="s">
        <v>204</v>
      </c>
      <c r="N4" s="95" t="s">
        <v>205</v>
      </c>
      <c r="O4" s="95" t="s">
        <v>196</v>
      </c>
      <c r="P4" s="95" t="s">
        <v>197</v>
      </c>
    </row>
    <row r="5" spans="1:16" ht="15" customHeight="1" x14ac:dyDescent="0.15">
      <c r="H5" s="19"/>
      <c r="I5" s="21"/>
      <c r="J5" s="21"/>
      <c r="K5" s="21"/>
    </row>
    <row r="6" spans="1:16" ht="15" customHeight="1" x14ac:dyDescent="0.15">
      <c r="H6" s="19"/>
      <c r="I6" s="21"/>
      <c r="J6" s="21"/>
      <c r="K6" s="21"/>
    </row>
    <row r="7" spans="1:16" ht="15" customHeight="1" x14ac:dyDescent="0.15">
      <c r="H7" s="19"/>
      <c r="I7" s="21"/>
      <c r="J7" s="21"/>
      <c r="K7" s="21"/>
    </row>
    <row r="8" spans="1:16" ht="15" customHeight="1" x14ac:dyDescent="0.15">
      <c r="H8" s="19"/>
      <c r="I8" s="21"/>
      <c r="J8" s="21"/>
      <c r="K8" s="21"/>
    </row>
    <row r="9" spans="1:16" ht="15" customHeight="1" x14ac:dyDescent="0.15">
      <c r="H9" s="19"/>
      <c r="I9" s="21"/>
      <c r="J9" s="21"/>
      <c r="K9" s="21"/>
    </row>
    <row r="10" spans="1:16" ht="15" customHeight="1" x14ac:dyDescent="0.15">
      <c r="H10" s="19"/>
      <c r="I10" s="21"/>
      <c r="J10" s="21"/>
      <c r="K10" s="21"/>
    </row>
    <row r="11" spans="1:16" ht="15" customHeight="1" x14ac:dyDescent="0.15">
      <c r="H11" s="19"/>
      <c r="I11" s="21"/>
      <c r="J11" s="21"/>
      <c r="K11" s="21"/>
    </row>
    <row r="12" spans="1:16" ht="15" customHeight="1" x14ac:dyDescent="0.15">
      <c r="H12" s="19"/>
      <c r="I12" s="21"/>
      <c r="J12" s="21"/>
      <c r="K12" s="21"/>
    </row>
    <row r="13" spans="1:16" ht="15" customHeight="1" x14ac:dyDescent="0.15">
      <c r="H13" s="19"/>
      <c r="I13" s="21"/>
      <c r="J13" s="21"/>
      <c r="K13" s="21"/>
    </row>
    <row r="14" spans="1:16" ht="15" customHeight="1" x14ac:dyDescent="0.15">
      <c r="H14" s="19"/>
      <c r="I14" s="21"/>
      <c r="J14" s="21"/>
      <c r="K14" s="21"/>
    </row>
    <row r="15" spans="1:16" ht="15" customHeight="1" x14ac:dyDescent="0.15">
      <c r="H15" s="19"/>
      <c r="I15" s="21"/>
      <c r="J15" s="21"/>
      <c r="K15" s="21"/>
    </row>
    <row r="16" spans="1:16" ht="15" customHeight="1" x14ac:dyDescent="0.15">
      <c r="H16" s="19"/>
      <c r="I16" s="21"/>
      <c r="J16" s="21"/>
      <c r="K16" s="21"/>
    </row>
    <row r="17" spans="8:11" ht="15" customHeight="1" x14ac:dyDescent="0.15">
      <c r="H17" s="19"/>
      <c r="I17" s="21"/>
      <c r="J17" s="21"/>
      <c r="K17" s="21"/>
    </row>
    <row r="18" spans="8:11" ht="15" customHeight="1" x14ac:dyDescent="0.15">
      <c r="H18" s="19"/>
      <c r="I18" s="21"/>
      <c r="J18" s="21"/>
      <c r="K18" s="21"/>
    </row>
    <row r="19" spans="8:11" ht="15" customHeight="1" x14ac:dyDescent="0.15">
      <c r="H19" s="19"/>
      <c r="I19" s="21"/>
      <c r="J19" s="21"/>
      <c r="K19" s="21"/>
    </row>
    <row r="20" spans="8:11" ht="15" customHeight="1" x14ac:dyDescent="0.15">
      <c r="H20" s="19"/>
      <c r="I20" s="21"/>
      <c r="J20" s="21"/>
      <c r="K20" s="21"/>
    </row>
    <row r="21" spans="8:11" ht="15" customHeight="1" x14ac:dyDescent="0.15">
      <c r="H21" s="19"/>
      <c r="I21" s="21"/>
      <c r="J21" s="21"/>
      <c r="K21" s="21"/>
    </row>
    <row r="22" spans="8:11" ht="15" customHeight="1" x14ac:dyDescent="0.15">
      <c r="H22" s="19"/>
      <c r="I22" s="21"/>
      <c r="J22" s="21"/>
      <c r="K22" s="21"/>
    </row>
    <row r="23" spans="8:11" ht="15" customHeight="1" x14ac:dyDescent="0.15">
      <c r="H23" s="19"/>
      <c r="I23" s="21"/>
      <c r="J23" s="21"/>
      <c r="K23" s="21"/>
    </row>
    <row r="24" spans="8:11" ht="15" customHeight="1" x14ac:dyDescent="0.15">
      <c r="H24" s="19"/>
      <c r="I24" s="21"/>
      <c r="J24" s="21"/>
      <c r="K24" s="21"/>
    </row>
  </sheetData>
  <mergeCells count="2">
    <mergeCell ref="I3:K3"/>
    <mergeCell ref="A1:XFD1"/>
  </mergeCells>
  <conditionalFormatting sqref="A5:L104">
    <cfRule type="expression" dxfId="13" priority="1">
      <formula>AND(COUNTA($A5:$P5)&gt;0,ISBLANK(A5))</formula>
    </cfRule>
  </conditionalFormatting>
  <dataValidations count="8">
    <dataValidation type="list" showInputMessage="1" prompt="Max. 5 Zeichen." sqref="A5:A104" xr:uid="{B339099C-1755-6D4E-9F19-5E3368FAC096}">
      <formula1>WS14ExpertCodes</formula1>
    </dataValidation>
    <dataValidation type="list" showErrorMessage="1" sqref="C5:C100" xr:uid="{C0C24CC3-FFEC-714F-88CD-4F4217A2032D}">
      <formula1>BuildingUsageTypeSelection</formula1>
    </dataValidation>
    <dataValidation type="list" showErrorMessage="1" sqref="D5:D104" xr:uid="{C36CEB92-633A-DF4A-A234-739DF78B635C}">
      <formula1>INDIRECT(SUBSTITUTE(SUBSTITUTE(SUBSTITUTE(C5," ",""),".",""),"/",""))</formula1>
    </dataValidation>
    <dataValidation type="list" showErrorMessage="1" sqref="F5:F104" xr:uid="{3CFFD2EA-F434-C847-B47B-5229A1DA7718}">
      <formula1>ExpansionDegrees</formula1>
    </dataValidation>
    <dataValidation type="list" showErrorMessage="1" sqref="G5:G104" xr:uid="{43CB877B-261D-3C4C-B140-4D841AAD4279}">
      <formula1>LightingQuality</formula1>
    </dataValidation>
    <dataValidation type="list" showErrorMessage="1" sqref="L5:L104" xr:uid="{CADAD3FA-F0D9-3046-B9A0-B2B689AAE454}">
      <formula1>Boolean</formula1>
    </dataValidation>
    <dataValidation type="list" showErrorMessage="1" sqref="O5:O104" xr:uid="{34A49F98-1612-B74E-8D2C-4530A8D87825}">
      <formula1>CalculationBase_NoMeter</formula1>
    </dataValidation>
    <dataValidation type="textLength" operator="lessThanOrEqual" allowBlank="1" showInputMessage="1" showErrorMessage="1" prompt="Max. 250 Zeichen." sqref="B5:B105" xr:uid="{57D6B190-914D-134B-95E4-277EB59694FA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DB5A-4A4E-0240-9F69-288766C0CBED}">
  <dimension ref="A1:O25"/>
  <sheetViews>
    <sheetView zoomScale="85" zoomScaleNormal="85" workbookViewId="0"/>
  </sheetViews>
  <sheetFormatPr baseColWidth="10" defaultColWidth="9.1640625" defaultRowHeight="15" customHeight="1" x14ac:dyDescent="0.15"/>
  <cols>
    <col min="1" max="1" width="8.5" style="1" customWidth="1"/>
    <col min="2" max="2" width="27.1640625" style="1" customWidth="1"/>
    <col min="3" max="3" width="29.83203125" style="1" customWidth="1"/>
    <col min="4" max="4" width="12.5" style="1" customWidth="1"/>
    <col min="5" max="5" width="16.5" style="1" customWidth="1"/>
    <col min="6" max="6" width="14.83203125" style="1" customWidth="1"/>
    <col min="7" max="7" width="15.83203125" style="1" customWidth="1"/>
    <col min="8" max="10" width="9.6640625" style="1" customWidth="1"/>
    <col min="11" max="11" width="9.1640625" style="1"/>
    <col min="12" max="12" width="18" style="1" customWidth="1"/>
    <col min="13" max="13" width="15" style="1" customWidth="1"/>
    <col min="14" max="14" width="20.83203125" style="1" customWidth="1"/>
    <col min="15" max="15" width="16.83203125" style="1" customWidth="1"/>
    <col min="16" max="16384" width="9.1640625" style="1"/>
  </cols>
  <sheetData>
    <row r="1" spans="1:15" s="173" customFormat="1" ht="15" customHeight="1" thickBot="1" x14ac:dyDescent="0.2">
      <c r="A1" s="153" t="s">
        <v>134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ht="15" customHeight="1" x14ac:dyDescent="0.15">
      <c r="H2" s="21"/>
    </row>
    <row r="3" spans="1:15" ht="15" customHeight="1" x14ac:dyDescent="0.15">
      <c r="A3" s="139" t="s">
        <v>342</v>
      </c>
      <c r="B3" s="167"/>
      <c r="C3" s="160"/>
      <c r="D3" s="160"/>
      <c r="E3" s="160"/>
      <c r="H3" s="21"/>
    </row>
    <row r="4" spans="1:15" ht="15" customHeight="1" x14ac:dyDescent="0.15">
      <c r="A4" s="132" t="s">
        <v>193</v>
      </c>
      <c r="B4" s="183"/>
      <c r="C4" s="189"/>
      <c r="D4" s="190"/>
      <c r="E4" s="191"/>
      <c r="H4" s="21"/>
    </row>
    <row r="5" spans="1:15" ht="62.25" customHeight="1" x14ac:dyDescent="0.15">
      <c r="A5" s="145" t="s">
        <v>18</v>
      </c>
      <c r="B5" s="184"/>
      <c r="C5" s="186"/>
      <c r="D5" s="187"/>
      <c r="E5" s="188"/>
      <c r="H5" s="21"/>
    </row>
    <row r="6" spans="1:15" ht="62.25" customHeight="1" x14ac:dyDescent="0.15">
      <c r="A6" s="145" t="s">
        <v>91</v>
      </c>
      <c r="B6" s="184"/>
      <c r="C6" s="186"/>
      <c r="D6" s="187"/>
      <c r="E6" s="188"/>
      <c r="H6" s="21"/>
    </row>
    <row r="7" spans="1:15" ht="15" customHeight="1" x14ac:dyDescent="0.15">
      <c r="H7" s="21"/>
    </row>
    <row r="8" spans="1:15" ht="15" customHeight="1" x14ac:dyDescent="0.15">
      <c r="I8" s="185" t="s">
        <v>67</v>
      </c>
      <c r="J8" s="181"/>
      <c r="K8" s="182"/>
    </row>
    <row r="9" spans="1:15" s="26" customFormat="1" ht="34.5" customHeight="1" x14ac:dyDescent="0.15">
      <c r="A9" s="95" t="s">
        <v>16</v>
      </c>
      <c r="B9" s="104" t="s">
        <v>27</v>
      </c>
      <c r="C9" s="104" t="s">
        <v>161</v>
      </c>
      <c r="D9" s="104" t="s">
        <v>21</v>
      </c>
      <c r="E9" s="104" t="s">
        <v>162</v>
      </c>
      <c r="F9" s="104" t="s">
        <v>56</v>
      </c>
      <c r="G9" s="104" t="s">
        <v>53</v>
      </c>
      <c r="H9" s="104" t="s">
        <v>201</v>
      </c>
      <c r="I9" s="104" t="s">
        <v>68</v>
      </c>
      <c r="J9" s="104" t="s">
        <v>69</v>
      </c>
      <c r="K9" s="104" t="s">
        <v>70</v>
      </c>
      <c r="L9" s="95" t="s">
        <v>204</v>
      </c>
      <c r="M9" s="95" t="s">
        <v>205</v>
      </c>
      <c r="N9" s="95" t="s">
        <v>196</v>
      </c>
      <c r="O9" s="95" t="s">
        <v>197</v>
      </c>
    </row>
    <row r="10" spans="1:15" ht="15" customHeight="1" x14ac:dyDescent="0.15">
      <c r="G10" s="19"/>
      <c r="H10" s="27"/>
      <c r="I10" s="21"/>
      <c r="J10" s="21"/>
      <c r="K10" s="21"/>
    </row>
    <row r="11" spans="1:15" ht="15" customHeight="1" x14ac:dyDescent="0.15">
      <c r="G11" s="19"/>
      <c r="H11" s="27"/>
      <c r="I11" s="21"/>
      <c r="J11" s="21"/>
      <c r="K11" s="21"/>
    </row>
    <row r="12" spans="1:15" ht="15" customHeight="1" x14ac:dyDescent="0.15">
      <c r="G12" s="19"/>
      <c r="H12" s="27"/>
      <c r="I12" s="21"/>
      <c r="J12" s="21"/>
      <c r="K12" s="21"/>
    </row>
    <row r="13" spans="1:15" ht="15" customHeight="1" x14ac:dyDescent="0.15">
      <c r="G13" s="19"/>
      <c r="H13" s="27"/>
      <c r="I13" s="21"/>
      <c r="J13" s="21"/>
      <c r="K13" s="21"/>
    </row>
    <row r="14" spans="1:15" ht="15" customHeight="1" x14ac:dyDescent="0.15">
      <c r="G14" s="19"/>
      <c r="H14" s="27"/>
      <c r="I14" s="21"/>
      <c r="J14" s="21"/>
      <c r="K14" s="21"/>
    </row>
    <row r="15" spans="1:15" ht="15" customHeight="1" x14ac:dyDescent="0.15">
      <c r="G15" s="19"/>
      <c r="H15" s="27"/>
      <c r="I15" s="21"/>
      <c r="J15" s="21"/>
      <c r="K15" s="21"/>
    </row>
    <row r="16" spans="1:15" ht="15" customHeight="1" x14ac:dyDescent="0.15">
      <c r="G16" s="19"/>
      <c r="H16" s="27"/>
      <c r="I16" s="21"/>
      <c r="J16" s="21"/>
      <c r="K16" s="21"/>
    </row>
    <row r="17" spans="7:11" ht="15" customHeight="1" x14ac:dyDescent="0.15">
      <c r="G17" s="19"/>
      <c r="H17" s="27"/>
      <c r="I17" s="21"/>
      <c r="J17" s="21"/>
      <c r="K17" s="21"/>
    </row>
    <row r="18" spans="7:11" ht="15" customHeight="1" x14ac:dyDescent="0.15">
      <c r="G18" s="19"/>
      <c r="H18" s="27"/>
      <c r="I18" s="21"/>
      <c r="J18" s="21"/>
      <c r="K18" s="21"/>
    </row>
    <row r="19" spans="7:11" ht="15" customHeight="1" x14ac:dyDescent="0.15">
      <c r="G19" s="19"/>
      <c r="H19" s="27"/>
      <c r="I19" s="21"/>
      <c r="J19" s="21"/>
      <c r="K19" s="21"/>
    </row>
    <row r="20" spans="7:11" ht="15" customHeight="1" x14ac:dyDescent="0.15">
      <c r="G20" s="19"/>
      <c r="H20" s="27"/>
      <c r="I20" s="21"/>
      <c r="J20" s="21"/>
      <c r="K20" s="21"/>
    </row>
    <row r="21" spans="7:11" ht="15" customHeight="1" x14ac:dyDescent="0.15">
      <c r="G21" s="19"/>
      <c r="H21" s="27"/>
      <c r="I21" s="21"/>
      <c r="J21" s="21"/>
      <c r="K21" s="21"/>
    </row>
    <row r="22" spans="7:11" ht="15" customHeight="1" x14ac:dyDescent="0.15">
      <c r="G22" s="19"/>
      <c r="H22" s="27"/>
      <c r="I22" s="21"/>
      <c r="J22" s="21"/>
      <c r="K22" s="21"/>
    </row>
    <row r="23" spans="7:11" ht="15" customHeight="1" x14ac:dyDescent="0.15">
      <c r="G23" s="19"/>
      <c r="H23" s="27"/>
      <c r="I23" s="21"/>
      <c r="J23" s="21"/>
      <c r="K23" s="21"/>
    </row>
    <row r="24" spans="7:11" ht="15" customHeight="1" x14ac:dyDescent="0.15">
      <c r="G24" s="19"/>
      <c r="H24" s="27"/>
      <c r="I24" s="21"/>
      <c r="J24" s="21"/>
      <c r="K24" s="21"/>
    </row>
    <row r="25" spans="7:11" ht="15" customHeight="1" x14ac:dyDescent="0.15">
      <c r="G25" s="19"/>
      <c r="H25" s="27"/>
      <c r="I25" s="21"/>
      <c r="J25" s="21"/>
      <c r="K25" s="21"/>
    </row>
  </sheetData>
  <mergeCells count="10">
    <mergeCell ref="A1:XFD1"/>
    <mergeCell ref="I8:K8"/>
    <mergeCell ref="C6:E6"/>
    <mergeCell ref="A4:B4"/>
    <mergeCell ref="A5:B5"/>
    <mergeCell ref="A6:B6"/>
    <mergeCell ref="C5:E5"/>
    <mergeCell ref="C4:E4"/>
    <mergeCell ref="A3:B3"/>
    <mergeCell ref="C3:E3"/>
  </mergeCells>
  <conditionalFormatting sqref="A10:K109">
    <cfRule type="expression" dxfId="12" priority="1">
      <formula>AND(COUNTA($A10:$O10)&gt;0,ISBLANK(A10))</formula>
    </cfRule>
  </conditionalFormatting>
  <conditionalFormatting sqref="C3">
    <cfRule type="containsBlanks" dxfId="11" priority="2">
      <formula>LEN(TRIM(C3))=0</formula>
    </cfRule>
  </conditionalFormatting>
  <dataValidations count="11">
    <dataValidation type="textLength" operator="lessThan" allowBlank="1" showInputMessage="1" showErrorMessage="1" prompt="Max. 220 Zeichen. BItte ohne Sonderzeichen wie  ;  /  " sqref="F5:F6" xr:uid="{AA2436A3-B1CE-7C4E-ACD3-82C1C87C407F}">
      <formula1>220</formula1>
    </dataValidation>
    <dataValidation type="list" showErrorMessage="1" sqref="C3" xr:uid="{BE9CB32D-E736-D247-8EED-C4A27E41DF54}">
      <formula1>GeneralCondition</formula1>
    </dataValidation>
    <dataValidation type="list" allowBlank="1" showErrorMessage="1" sqref="C4" xr:uid="{5910B15A-1BB7-FD4C-8EEC-B4533B45589B}">
      <formula1>Prioritization</formula1>
    </dataValidation>
    <dataValidation type="textLength" operator="lessThanOrEqual" allowBlank="1" showInputMessage="1" showErrorMessage="1" prompt="Max. 1000 Zeichen." sqref="C5:C6" xr:uid="{962ED281-B6A9-2E41-957E-EACC44FCF0CC}">
      <formula1>1000</formula1>
    </dataValidation>
    <dataValidation type="list" showInputMessage="1" prompt="Max. 5 Zeichen." sqref="A10:A109" xr:uid="{3A708842-16FA-4749-80BC-818933DBF6F3}">
      <formula1>WS15ExpertCodes</formula1>
    </dataValidation>
    <dataValidation type="list" showErrorMessage="1" sqref="C10:C100" xr:uid="{DF340A53-CC0A-A04F-8416-3C097C003ABA}">
      <formula1>BuildingUsageTypeSelection</formula1>
    </dataValidation>
    <dataValidation type="list" showErrorMessage="1" sqref="D10:D109" xr:uid="{D94463F8-8859-6F4B-833C-C2A4ED1831FE}">
      <formula1>INDIRECT(SUBSTITUTE(SUBSTITUTE(SUBSTITUTE(C10," ",""),".",""),"/",""))</formula1>
    </dataValidation>
    <dataValidation type="list" showErrorMessage="1" sqref="F10:F109" xr:uid="{BAC9D51E-FFE9-5440-9E05-F6334AC2AB6B}">
      <formula1>ExpansionDegrees</formula1>
    </dataValidation>
    <dataValidation type="list" showErrorMessage="1" sqref="G10:G109" xr:uid="{D1E2FF7B-40BC-A248-9B4F-5A82849EC0B6}">
      <formula1>ElectronicsQualities</formula1>
    </dataValidation>
    <dataValidation type="list" showErrorMessage="1" sqref="N10:N109" xr:uid="{28B6EA3B-44FC-9842-B626-FA2D3B2B8D84}">
      <formula1>CalculationBase_NoMeter</formula1>
    </dataValidation>
    <dataValidation type="textLength" operator="lessThanOrEqual" allowBlank="1" showInputMessage="1" showErrorMessage="1" prompt="Max. 250 Zeichen." sqref="B10:B110" xr:uid="{5DBFAEC7-2153-AD41-B951-81E0594A420A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9731-27F4-FB4C-9432-139BE5CAE9A4}">
  <sheetPr codeName="Sheet15"/>
  <dimension ref="A1:W110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71" customWidth="1"/>
    <col min="2" max="3" width="8.33203125" style="1" customWidth="1"/>
    <col min="4" max="5" width="31.6640625" style="1" customWidth="1"/>
    <col min="6" max="6" width="15" style="19" customWidth="1"/>
    <col min="7" max="7" width="22.33203125" style="1" customWidth="1"/>
    <col min="8" max="8" width="20.5" style="1" customWidth="1"/>
    <col min="9" max="9" width="16.6640625" style="1" bestFit="1" customWidth="1"/>
    <col min="10" max="10" width="16.1640625" style="1" bestFit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73" customFormat="1" ht="15" customHeight="1" thickBot="1" x14ac:dyDescent="0.2">
      <c r="A1" s="153" t="s">
        <v>774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ht="40.5" customHeight="1" x14ac:dyDescent="0.15"/>
    <row r="3" spans="1:23" s="26" customFormat="1" ht="30" customHeight="1" x14ac:dyDescent="0.15">
      <c r="A3" s="139" t="s">
        <v>342</v>
      </c>
      <c r="B3" s="167"/>
      <c r="C3" s="141"/>
      <c r="D3" s="141"/>
      <c r="E3" s="141"/>
      <c r="F3" s="141"/>
    </row>
    <row r="4" spans="1:23" ht="15" customHeight="1" x14ac:dyDescent="0.15">
      <c r="A4" s="132" t="s">
        <v>193</v>
      </c>
      <c r="B4" s="192"/>
      <c r="C4" s="141"/>
      <c r="D4" s="141"/>
      <c r="E4" s="141"/>
      <c r="F4" s="141"/>
      <c r="G4" s="19"/>
      <c r="H4" s="24"/>
      <c r="I4" s="19"/>
    </row>
    <row r="5" spans="1:23" ht="62.25" customHeight="1" x14ac:dyDescent="0.15">
      <c r="A5" s="145" t="s">
        <v>18</v>
      </c>
      <c r="B5" s="151"/>
      <c r="C5" s="141"/>
      <c r="D5" s="141"/>
      <c r="E5" s="141"/>
      <c r="F5" s="141"/>
      <c r="G5" s="19"/>
      <c r="H5" s="24"/>
      <c r="I5" s="19"/>
    </row>
    <row r="6" spans="1:23" ht="62.25" customHeight="1" x14ac:dyDescent="0.15">
      <c r="A6" s="145" t="s">
        <v>91</v>
      </c>
      <c r="B6" s="151"/>
      <c r="C6" s="141"/>
      <c r="D6" s="141"/>
      <c r="E6" s="141"/>
      <c r="F6" s="141"/>
      <c r="G6" s="19"/>
      <c r="H6" s="24"/>
      <c r="I6" s="19"/>
    </row>
    <row r="7" spans="1:23" ht="15" customHeight="1" x14ac:dyDescent="0.15">
      <c r="B7" s="71"/>
      <c r="C7" s="71"/>
      <c r="E7" s="69"/>
      <c r="G7" s="19"/>
      <c r="H7" s="24"/>
      <c r="I7" s="19"/>
    </row>
    <row r="8" spans="1:23" ht="34.5" customHeight="1" x14ac:dyDescent="0.15">
      <c r="A8" s="99" t="s">
        <v>16</v>
      </c>
      <c r="B8" s="104" t="s">
        <v>21</v>
      </c>
      <c r="C8" s="96" t="s">
        <v>190</v>
      </c>
      <c r="D8" s="104" t="s">
        <v>27</v>
      </c>
      <c r="E8" s="96" t="s">
        <v>199</v>
      </c>
      <c r="F8" s="105" t="s">
        <v>192</v>
      </c>
      <c r="G8" s="104" t="s">
        <v>191</v>
      </c>
      <c r="H8" s="104" t="s">
        <v>201</v>
      </c>
      <c r="I8" s="104" t="s">
        <v>135</v>
      </c>
      <c r="J8" s="95" t="s">
        <v>204</v>
      </c>
      <c r="K8" s="95" t="s">
        <v>205</v>
      </c>
      <c r="L8" s="95" t="s">
        <v>196</v>
      </c>
      <c r="M8" s="95" t="s">
        <v>197</v>
      </c>
    </row>
    <row r="9" spans="1:23" ht="15" customHeight="1" x14ac:dyDescent="0.15">
      <c r="G9" s="21"/>
      <c r="H9" s="19"/>
    </row>
    <row r="10" spans="1:23" ht="15" customHeight="1" x14ac:dyDescent="0.15">
      <c r="B10" s="71"/>
      <c r="C10" s="71"/>
      <c r="E10" s="69"/>
      <c r="G10" s="21"/>
      <c r="H10" s="19"/>
      <c r="I10" s="19"/>
    </row>
    <row r="11" spans="1:23" ht="15" customHeight="1" x14ac:dyDescent="0.15">
      <c r="B11" s="71"/>
      <c r="C11" s="71"/>
      <c r="E11" s="69"/>
      <c r="G11" s="21"/>
      <c r="H11" s="19"/>
      <c r="I11" s="19"/>
    </row>
    <row r="12" spans="1:23" ht="15" customHeight="1" x14ac:dyDescent="0.15">
      <c r="B12" s="71"/>
      <c r="C12" s="71"/>
      <c r="E12" s="69"/>
      <c r="G12" s="21"/>
      <c r="H12" s="19"/>
      <c r="I12" s="19"/>
    </row>
    <row r="13" spans="1:23" ht="15" customHeight="1" x14ac:dyDescent="0.15">
      <c r="B13" s="71"/>
      <c r="C13" s="71"/>
      <c r="E13" s="69"/>
      <c r="G13" s="21"/>
      <c r="H13" s="19"/>
      <c r="I13" s="19"/>
    </row>
    <row r="14" spans="1:23" ht="15" customHeight="1" x14ac:dyDescent="0.15">
      <c r="B14" s="71"/>
      <c r="C14" s="71"/>
      <c r="E14" s="69"/>
      <c r="G14" s="21"/>
      <c r="H14" s="19"/>
      <c r="I14" s="19"/>
    </row>
    <row r="15" spans="1:23" ht="15" customHeight="1" x14ac:dyDescent="0.15">
      <c r="B15" s="71"/>
      <c r="C15" s="71"/>
      <c r="E15" s="69"/>
      <c r="G15" s="21"/>
      <c r="H15" s="19"/>
      <c r="I15" s="19"/>
    </row>
    <row r="16" spans="1:23" ht="15" customHeight="1" x14ac:dyDescent="0.15">
      <c r="B16" s="71"/>
      <c r="C16" s="71"/>
      <c r="E16" s="69"/>
      <c r="G16" s="21"/>
      <c r="H16" s="19"/>
      <c r="I16" s="19"/>
    </row>
    <row r="17" spans="2:9" ht="15" customHeight="1" x14ac:dyDescent="0.15">
      <c r="B17" s="71"/>
      <c r="C17" s="71"/>
      <c r="E17" s="69"/>
      <c r="G17" s="21"/>
      <c r="H17" s="19"/>
      <c r="I17" s="19"/>
    </row>
    <row r="18" spans="2:9" ht="15" customHeight="1" x14ac:dyDescent="0.15">
      <c r="B18" s="71"/>
      <c r="C18" s="71"/>
      <c r="E18" s="69"/>
      <c r="G18" s="21"/>
      <c r="H18" s="19"/>
      <c r="I18" s="19"/>
    </row>
    <row r="19" spans="2:9" ht="15" customHeight="1" x14ac:dyDescent="0.15">
      <c r="B19" s="71"/>
      <c r="C19" s="71"/>
      <c r="E19" s="69"/>
      <c r="G19" s="21"/>
      <c r="H19" s="19"/>
      <c r="I19" s="19"/>
    </row>
    <row r="20" spans="2:9" ht="15" customHeight="1" x14ac:dyDescent="0.15">
      <c r="B20" s="71"/>
      <c r="C20" s="71"/>
      <c r="E20" s="69"/>
      <c r="G20" s="21"/>
      <c r="H20" s="19"/>
      <c r="I20" s="19"/>
    </row>
    <row r="21" spans="2:9" ht="15" customHeight="1" x14ac:dyDescent="0.15">
      <c r="B21" s="71"/>
      <c r="C21" s="71"/>
      <c r="E21" s="69"/>
      <c r="G21" s="21"/>
      <c r="H21" s="19"/>
      <c r="I21" s="19"/>
    </row>
    <row r="22" spans="2:9" ht="15" customHeight="1" x14ac:dyDescent="0.15">
      <c r="B22" s="71"/>
      <c r="C22" s="71"/>
      <c r="E22" s="69"/>
      <c r="G22" s="21"/>
      <c r="H22" s="19"/>
      <c r="I22" s="19"/>
    </row>
    <row r="23" spans="2:9" ht="15" customHeight="1" x14ac:dyDescent="0.15">
      <c r="B23" s="71"/>
      <c r="C23" s="71"/>
      <c r="E23" s="69"/>
      <c r="G23" s="21"/>
      <c r="H23" s="19"/>
      <c r="I23" s="19"/>
    </row>
    <row r="24" spans="2:9" ht="15" customHeight="1" x14ac:dyDescent="0.15">
      <c r="B24" s="71"/>
      <c r="C24" s="71"/>
      <c r="E24" s="69"/>
      <c r="G24" s="21"/>
      <c r="H24" s="19"/>
      <c r="I24" s="19"/>
    </row>
    <row r="25" spans="2:9" ht="15" customHeight="1" x14ac:dyDescent="0.15">
      <c r="B25" s="71"/>
      <c r="C25" s="71"/>
      <c r="E25" s="69"/>
      <c r="G25" s="21"/>
      <c r="H25" s="19"/>
      <c r="I25" s="19"/>
    </row>
    <row r="26" spans="2:9" ht="15" customHeight="1" x14ac:dyDescent="0.15">
      <c r="B26" s="71"/>
      <c r="C26" s="71"/>
      <c r="E26" s="69"/>
      <c r="G26" s="21"/>
      <c r="H26" s="19"/>
      <c r="I26" s="19"/>
    </row>
    <row r="27" spans="2:9" ht="15" customHeight="1" x14ac:dyDescent="0.15">
      <c r="B27" s="71"/>
      <c r="C27" s="71"/>
      <c r="E27" s="69"/>
      <c r="G27" s="21"/>
      <c r="H27" s="19"/>
      <c r="I27" s="19"/>
    </row>
    <row r="28" spans="2:9" ht="15" customHeight="1" x14ac:dyDescent="0.15">
      <c r="B28" s="71"/>
      <c r="C28" s="71"/>
      <c r="E28" s="69"/>
      <c r="G28" s="21"/>
      <c r="H28" s="19"/>
      <c r="I28" s="19"/>
    </row>
    <row r="29" spans="2:9" ht="15" customHeight="1" x14ac:dyDescent="0.15">
      <c r="B29" s="71"/>
      <c r="C29" s="71"/>
      <c r="E29" s="69"/>
      <c r="G29" s="21"/>
      <c r="H29" s="19"/>
      <c r="I29" s="19"/>
    </row>
    <row r="30" spans="2:9" ht="15" customHeight="1" x14ac:dyDescent="0.15">
      <c r="B30" s="71"/>
      <c r="C30" s="71"/>
      <c r="E30" s="69"/>
      <c r="G30" s="21"/>
      <c r="H30" s="19"/>
      <c r="I30" s="19"/>
    </row>
    <row r="31" spans="2:9" ht="15" customHeight="1" x14ac:dyDescent="0.15">
      <c r="B31" s="71"/>
      <c r="C31" s="71"/>
      <c r="E31" s="69"/>
      <c r="G31" s="21"/>
      <c r="H31" s="19"/>
      <c r="I31" s="19"/>
    </row>
    <row r="32" spans="2:9" ht="15" customHeight="1" x14ac:dyDescent="0.15">
      <c r="B32" s="71"/>
      <c r="C32" s="71"/>
      <c r="E32" s="69"/>
      <c r="G32" s="21"/>
      <c r="H32" s="19"/>
      <c r="I32" s="19"/>
    </row>
    <row r="33" spans="2:9" ht="15" customHeight="1" x14ac:dyDescent="0.15">
      <c r="B33" s="71"/>
      <c r="C33" s="71"/>
      <c r="E33" s="69"/>
      <c r="G33" s="21"/>
      <c r="H33" s="19"/>
      <c r="I33" s="19"/>
    </row>
    <row r="34" spans="2:9" ht="15" customHeight="1" x14ac:dyDescent="0.15">
      <c r="B34" s="71"/>
      <c r="C34" s="71"/>
      <c r="E34" s="69"/>
      <c r="G34" s="21"/>
      <c r="H34" s="19"/>
      <c r="I34" s="19"/>
    </row>
    <row r="35" spans="2:9" ht="15" customHeight="1" x14ac:dyDescent="0.15">
      <c r="B35" s="71"/>
      <c r="C35" s="71"/>
      <c r="E35" s="69"/>
      <c r="G35" s="21"/>
      <c r="H35" s="19"/>
      <c r="I35" s="19"/>
    </row>
    <row r="36" spans="2:9" ht="15" customHeight="1" x14ac:dyDescent="0.15">
      <c r="B36" s="71"/>
      <c r="C36" s="71"/>
      <c r="E36" s="69"/>
      <c r="G36" s="21"/>
      <c r="H36" s="19"/>
      <c r="I36" s="19"/>
    </row>
    <row r="37" spans="2:9" ht="15" customHeight="1" x14ac:dyDescent="0.15">
      <c r="B37" s="71"/>
      <c r="C37" s="71"/>
      <c r="E37" s="69"/>
      <c r="G37" s="21"/>
      <c r="H37" s="19"/>
      <c r="I37" s="19"/>
    </row>
    <row r="38" spans="2:9" ht="15" customHeight="1" x14ac:dyDescent="0.15">
      <c r="B38" s="71"/>
      <c r="C38" s="71"/>
      <c r="E38" s="69"/>
      <c r="G38" s="21"/>
      <c r="H38" s="19"/>
      <c r="I38" s="19"/>
    </row>
    <row r="39" spans="2:9" ht="15" customHeight="1" x14ac:dyDescent="0.15">
      <c r="B39" s="71"/>
      <c r="C39" s="71"/>
      <c r="E39" s="69"/>
      <c r="G39" s="21"/>
      <c r="H39" s="19"/>
      <c r="I39" s="19"/>
    </row>
    <row r="40" spans="2:9" ht="15" customHeight="1" x14ac:dyDescent="0.15">
      <c r="B40" s="71"/>
      <c r="C40" s="71"/>
      <c r="E40" s="69"/>
      <c r="G40" s="21"/>
      <c r="H40" s="19"/>
      <c r="I40" s="19"/>
    </row>
    <row r="41" spans="2:9" ht="15" customHeight="1" x14ac:dyDescent="0.15">
      <c r="B41" s="71"/>
      <c r="C41" s="71"/>
      <c r="E41" s="69"/>
      <c r="G41" s="21"/>
      <c r="H41" s="19"/>
      <c r="I41" s="19"/>
    </row>
    <row r="42" spans="2:9" ht="15" customHeight="1" x14ac:dyDescent="0.15">
      <c r="B42" s="71"/>
      <c r="C42" s="71"/>
      <c r="E42" s="69"/>
      <c r="G42" s="21"/>
      <c r="H42" s="19"/>
      <c r="I42" s="19"/>
    </row>
    <row r="43" spans="2:9" ht="15" customHeight="1" x14ac:dyDescent="0.15">
      <c r="B43" s="71"/>
      <c r="C43" s="71"/>
      <c r="E43" s="69"/>
      <c r="G43" s="21"/>
      <c r="H43" s="19"/>
      <c r="I43" s="19"/>
    </row>
    <row r="44" spans="2:9" ht="15" customHeight="1" x14ac:dyDescent="0.15">
      <c r="B44" s="71"/>
      <c r="C44" s="71"/>
      <c r="E44" s="69"/>
      <c r="G44" s="21"/>
      <c r="H44" s="19"/>
      <c r="I44" s="19"/>
    </row>
    <row r="45" spans="2:9" ht="15" customHeight="1" x14ac:dyDescent="0.15">
      <c r="B45" s="71"/>
      <c r="C45" s="71"/>
      <c r="E45" s="69"/>
      <c r="G45" s="21"/>
      <c r="H45" s="19"/>
      <c r="I45" s="19"/>
    </row>
    <row r="46" spans="2:9" ht="15" customHeight="1" x14ac:dyDescent="0.15">
      <c r="B46" s="71"/>
      <c r="C46" s="71"/>
      <c r="E46" s="69"/>
      <c r="G46" s="21"/>
      <c r="H46" s="19"/>
      <c r="I46" s="19"/>
    </row>
    <row r="47" spans="2:9" ht="15" customHeight="1" x14ac:dyDescent="0.15">
      <c r="B47" s="71"/>
      <c r="C47" s="71"/>
      <c r="E47" s="69"/>
      <c r="G47" s="21"/>
      <c r="H47" s="19"/>
      <c r="I47" s="19"/>
    </row>
    <row r="48" spans="2:9" ht="15" customHeight="1" x14ac:dyDescent="0.15">
      <c r="B48" s="71"/>
      <c r="C48" s="71"/>
      <c r="E48" s="69"/>
      <c r="G48" s="21"/>
      <c r="H48" s="19"/>
      <c r="I48" s="19"/>
    </row>
    <row r="49" spans="2:9" ht="15" customHeight="1" x14ac:dyDescent="0.15">
      <c r="B49" s="71"/>
      <c r="C49" s="71"/>
      <c r="E49" s="69"/>
      <c r="G49" s="21"/>
      <c r="H49" s="19"/>
      <c r="I49" s="19"/>
    </row>
    <row r="50" spans="2:9" ht="15" customHeight="1" x14ac:dyDescent="0.15">
      <c r="B50" s="71"/>
      <c r="C50" s="71"/>
      <c r="E50" s="69"/>
      <c r="G50" s="21"/>
      <c r="H50" s="19"/>
      <c r="I50" s="19"/>
    </row>
    <row r="51" spans="2:9" ht="15" customHeight="1" x14ac:dyDescent="0.15">
      <c r="B51" s="71"/>
      <c r="C51" s="71"/>
      <c r="E51" s="69"/>
      <c r="G51" s="21"/>
      <c r="H51" s="19"/>
      <c r="I51" s="19"/>
    </row>
    <row r="52" spans="2:9" ht="15" customHeight="1" x14ac:dyDescent="0.15">
      <c r="B52" s="71"/>
      <c r="C52" s="71"/>
      <c r="E52" s="69"/>
      <c r="G52" s="21"/>
      <c r="H52" s="19"/>
      <c r="I52" s="19"/>
    </row>
    <row r="53" spans="2:9" ht="15" customHeight="1" x14ac:dyDescent="0.15">
      <c r="B53" s="71"/>
      <c r="C53" s="71"/>
      <c r="E53" s="69"/>
      <c r="G53" s="21"/>
      <c r="H53" s="19"/>
      <c r="I53" s="19"/>
    </row>
    <row r="54" spans="2:9" ht="15" customHeight="1" x14ac:dyDescent="0.15">
      <c r="B54" s="71"/>
      <c r="C54" s="71"/>
      <c r="E54" s="69"/>
      <c r="G54" s="21"/>
      <c r="H54" s="19"/>
      <c r="I54" s="19"/>
    </row>
    <row r="55" spans="2:9" ht="15" customHeight="1" x14ac:dyDescent="0.15">
      <c r="B55" s="71"/>
      <c r="C55" s="71"/>
      <c r="E55" s="69"/>
      <c r="G55" s="21"/>
      <c r="H55" s="19"/>
      <c r="I55" s="19"/>
    </row>
    <row r="56" spans="2:9" ht="15" customHeight="1" x14ac:dyDescent="0.15">
      <c r="B56" s="71"/>
      <c r="C56" s="71"/>
      <c r="E56" s="69"/>
      <c r="G56" s="21"/>
      <c r="H56" s="19"/>
      <c r="I56" s="19"/>
    </row>
    <row r="57" spans="2:9" ht="15" customHeight="1" x14ac:dyDescent="0.15">
      <c r="B57" s="71"/>
      <c r="C57" s="71"/>
      <c r="E57" s="69"/>
      <c r="G57" s="21"/>
      <c r="H57" s="19"/>
      <c r="I57" s="19"/>
    </row>
    <row r="58" spans="2:9" ht="15" customHeight="1" x14ac:dyDescent="0.15">
      <c r="B58" s="71"/>
      <c r="C58" s="71"/>
      <c r="E58" s="69"/>
      <c r="G58" s="21"/>
      <c r="H58" s="19"/>
      <c r="I58" s="19"/>
    </row>
    <row r="59" spans="2:9" ht="15" customHeight="1" x14ac:dyDescent="0.15">
      <c r="B59" s="71"/>
      <c r="C59" s="71"/>
      <c r="E59" s="69"/>
      <c r="G59" s="21"/>
      <c r="H59" s="19"/>
      <c r="I59" s="19"/>
    </row>
    <row r="60" spans="2:9" ht="15" customHeight="1" x14ac:dyDescent="0.15">
      <c r="B60" s="71"/>
      <c r="C60" s="71"/>
      <c r="E60" s="69"/>
      <c r="G60" s="21"/>
      <c r="H60" s="19"/>
      <c r="I60" s="19"/>
    </row>
    <row r="61" spans="2:9" ht="15" customHeight="1" x14ac:dyDescent="0.15">
      <c r="B61" s="71"/>
      <c r="C61" s="71"/>
      <c r="E61" s="69"/>
      <c r="G61" s="21"/>
      <c r="H61" s="19"/>
      <c r="I61" s="19"/>
    </row>
    <row r="62" spans="2:9" ht="15" customHeight="1" x14ac:dyDescent="0.15">
      <c r="B62" s="71"/>
      <c r="C62" s="71"/>
      <c r="E62" s="69"/>
      <c r="G62" s="21"/>
      <c r="H62" s="19"/>
      <c r="I62" s="19"/>
    </row>
    <row r="63" spans="2:9" ht="15" customHeight="1" x14ac:dyDescent="0.15">
      <c r="B63" s="71"/>
      <c r="C63" s="71"/>
      <c r="E63" s="69"/>
      <c r="G63" s="21"/>
      <c r="H63" s="19"/>
      <c r="I63" s="19"/>
    </row>
    <row r="64" spans="2:9" ht="15" customHeight="1" x14ac:dyDescent="0.15">
      <c r="B64" s="71"/>
      <c r="C64" s="71"/>
      <c r="E64" s="69"/>
      <c r="G64" s="21"/>
      <c r="H64" s="19"/>
      <c r="I64" s="19"/>
    </row>
    <row r="65" spans="2:9" ht="15" customHeight="1" x14ac:dyDescent="0.15">
      <c r="B65" s="71"/>
      <c r="C65" s="71"/>
      <c r="E65" s="69"/>
      <c r="G65" s="21"/>
      <c r="H65" s="19"/>
      <c r="I65" s="19"/>
    </row>
    <row r="66" spans="2:9" ht="15" customHeight="1" x14ac:dyDescent="0.15">
      <c r="B66" s="71"/>
      <c r="C66" s="71"/>
      <c r="E66" s="69"/>
      <c r="G66" s="21"/>
      <c r="H66" s="19"/>
      <c r="I66" s="19"/>
    </row>
    <row r="67" spans="2:9" ht="15" customHeight="1" x14ac:dyDescent="0.15">
      <c r="B67" s="71"/>
      <c r="C67" s="71"/>
      <c r="E67" s="69"/>
      <c r="G67" s="21"/>
      <c r="H67" s="19"/>
      <c r="I67" s="19"/>
    </row>
    <row r="68" spans="2:9" ht="15" customHeight="1" x14ac:dyDescent="0.15">
      <c r="B68" s="71"/>
      <c r="C68" s="71"/>
      <c r="E68" s="69"/>
      <c r="G68" s="21"/>
      <c r="H68" s="19"/>
      <c r="I68" s="19"/>
    </row>
    <row r="69" spans="2:9" ht="15" customHeight="1" x14ac:dyDescent="0.15">
      <c r="B69" s="71"/>
      <c r="C69" s="71"/>
      <c r="E69" s="69"/>
      <c r="G69" s="21"/>
      <c r="H69" s="19"/>
      <c r="I69" s="19"/>
    </row>
    <row r="70" spans="2:9" ht="15" customHeight="1" x14ac:dyDescent="0.15">
      <c r="B70" s="71"/>
      <c r="C70" s="71"/>
      <c r="E70" s="69"/>
      <c r="G70" s="21"/>
      <c r="H70" s="19"/>
      <c r="I70" s="19"/>
    </row>
    <row r="71" spans="2:9" ht="15" customHeight="1" x14ac:dyDescent="0.15">
      <c r="B71" s="71"/>
      <c r="C71" s="71"/>
      <c r="E71" s="69"/>
      <c r="G71" s="21"/>
      <c r="H71" s="19"/>
      <c r="I71" s="19"/>
    </row>
    <row r="72" spans="2:9" ht="15" customHeight="1" x14ac:dyDescent="0.15">
      <c r="B72" s="71"/>
      <c r="C72" s="71"/>
      <c r="E72" s="69"/>
      <c r="G72" s="21"/>
      <c r="H72" s="19"/>
      <c r="I72" s="19"/>
    </row>
    <row r="73" spans="2:9" ht="15" customHeight="1" x14ac:dyDescent="0.15">
      <c r="B73" s="71"/>
      <c r="C73" s="71"/>
      <c r="E73" s="69"/>
      <c r="G73" s="21"/>
      <c r="H73" s="19"/>
      <c r="I73" s="19"/>
    </row>
    <row r="74" spans="2:9" ht="15" customHeight="1" x14ac:dyDescent="0.15">
      <c r="B74" s="71"/>
      <c r="C74" s="71"/>
      <c r="E74" s="69"/>
      <c r="G74" s="21"/>
      <c r="H74" s="19"/>
      <c r="I74" s="19"/>
    </row>
    <row r="75" spans="2:9" ht="15" customHeight="1" x14ac:dyDescent="0.15">
      <c r="B75" s="71"/>
      <c r="C75" s="71"/>
      <c r="E75" s="69"/>
      <c r="G75" s="21"/>
      <c r="H75" s="19"/>
      <c r="I75" s="19"/>
    </row>
    <row r="76" spans="2:9" ht="15" customHeight="1" x14ac:dyDescent="0.15">
      <c r="B76" s="71"/>
      <c r="C76" s="71"/>
      <c r="E76" s="69"/>
      <c r="G76" s="21"/>
      <c r="H76" s="19"/>
      <c r="I76" s="19"/>
    </row>
    <row r="77" spans="2:9" ht="15" customHeight="1" x14ac:dyDescent="0.15">
      <c r="B77" s="71"/>
      <c r="C77" s="71"/>
      <c r="E77" s="69"/>
      <c r="G77" s="21"/>
      <c r="H77" s="19"/>
      <c r="I77" s="19"/>
    </row>
    <row r="78" spans="2:9" ht="15" customHeight="1" x14ac:dyDescent="0.15">
      <c r="B78" s="71"/>
      <c r="C78" s="71"/>
      <c r="E78" s="69"/>
      <c r="G78" s="21"/>
      <c r="H78" s="19"/>
      <c r="I78" s="19"/>
    </row>
    <row r="79" spans="2:9" ht="15" customHeight="1" x14ac:dyDescent="0.15">
      <c r="B79" s="71"/>
      <c r="C79" s="71"/>
      <c r="E79" s="69"/>
      <c r="G79" s="21"/>
      <c r="H79" s="19"/>
      <c r="I79" s="19"/>
    </row>
    <row r="80" spans="2:9" ht="15" customHeight="1" x14ac:dyDescent="0.15">
      <c r="B80" s="71"/>
      <c r="C80" s="71"/>
      <c r="E80" s="69"/>
      <c r="G80" s="21"/>
      <c r="H80" s="19"/>
      <c r="I80" s="19"/>
    </row>
    <row r="81" spans="2:9" ht="15" customHeight="1" x14ac:dyDescent="0.15">
      <c r="B81" s="71"/>
      <c r="C81" s="71"/>
      <c r="E81" s="69"/>
      <c r="G81" s="21"/>
      <c r="H81" s="19"/>
      <c r="I81" s="19"/>
    </row>
    <row r="82" spans="2:9" ht="15" customHeight="1" x14ac:dyDescent="0.15">
      <c r="B82" s="71"/>
      <c r="C82" s="71"/>
      <c r="E82" s="69"/>
      <c r="G82" s="21"/>
      <c r="H82" s="19"/>
      <c r="I82" s="19"/>
    </row>
    <row r="83" spans="2:9" ht="15" customHeight="1" x14ac:dyDescent="0.15">
      <c r="B83" s="71"/>
      <c r="C83" s="71"/>
      <c r="E83" s="69"/>
      <c r="G83" s="21"/>
      <c r="H83" s="19"/>
      <c r="I83" s="19"/>
    </row>
    <row r="84" spans="2:9" ht="15" customHeight="1" x14ac:dyDescent="0.15">
      <c r="B84" s="71"/>
      <c r="C84" s="71"/>
      <c r="E84" s="69"/>
      <c r="G84" s="21"/>
      <c r="H84" s="19"/>
      <c r="I84" s="19"/>
    </row>
    <row r="85" spans="2:9" ht="15" customHeight="1" x14ac:dyDescent="0.15">
      <c r="B85" s="71"/>
      <c r="C85" s="71"/>
      <c r="E85" s="69"/>
      <c r="G85" s="21"/>
      <c r="H85" s="19"/>
      <c r="I85" s="19"/>
    </row>
    <row r="86" spans="2:9" ht="15" customHeight="1" x14ac:dyDescent="0.15">
      <c r="B86" s="71"/>
      <c r="C86" s="71"/>
      <c r="E86" s="69"/>
      <c r="G86" s="21"/>
      <c r="H86" s="19"/>
      <c r="I86" s="19"/>
    </row>
    <row r="87" spans="2:9" ht="15" customHeight="1" x14ac:dyDescent="0.15">
      <c r="B87" s="71"/>
      <c r="C87" s="71"/>
      <c r="E87" s="69"/>
      <c r="G87" s="21"/>
      <c r="H87" s="19"/>
      <c r="I87" s="19"/>
    </row>
    <row r="88" spans="2:9" ht="15" customHeight="1" x14ac:dyDescent="0.15">
      <c r="B88" s="71"/>
      <c r="C88" s="71"/>
      <c r="E88" s="69"/>
      <c r="G88" s="21"/>
      <c r="H88" s="19"/>
      <c r="I88" s="19"/>
    </row>
    <row r="89" spans="2:9" ht="15" customHeight="1" x14ac:dyDescent="0.15">
      <c r="B89" s="71"/>
      <c r="C89" s="71"/>
      <c r="E89" s="69"/>
      <c r="G89" s="21"/>
      <c r="H89" s="19"/>
      <c r="I89" s="19"/>
    </row>
    <row r="90" spans="2:9" ht="15" customHeight="1" x14ac:dyDescent="0.15">
      <c r="B90" s="71"/>
      <c r="C90" s="71"/>
      <c r="E90" s="69"/>
      <c r="G90" s="21"/>
      <c r="H90" s="19"/>
      <c r="I90" s="19"/>
    </row>
    <row r="91" spans="2:9" ht="15" customHeight="1" x14ac:dyDescent="0.15">
      <c r="B91" s="71"/>
      <c r="C91" s="71"/>
      <c r="E91" s="69"/>
      <c r="G91" s="21"/>
      <c r="H91" s="19"/>
      <c r="I91" s="19"/>
    </row>
    <row r="92" spans="2:9" ht="15" customHeight="1" x14ac:dyDescent="0.15">
      <c r="B92" s="71"/>
      <c r="C92" s="71"/>
      <c r="E92" s="69"/>
      <c r="G92" s="21"/>
      <c r="H92" s="19"/>
      <c r="I92" s="19"/>
    </row>
    <row r="93" spans="2:9" ht="15" customHeight="1" x14ac:dyDescent="0.15">
      <c r="B93" s="71"/>
      <c r="C93" s="71"/>
      <c r="E93" s="69"/>
      <c r="G93" s="21"/>
      <c r="H93" s="19"/>
      <c r="I93" s="19"/>
    </row>
    <row r="94" spans="2:9" ht="15" customHeight="1" x14ac:dyDescent="0.15">
      <c r="B94" s="71"/>
      <c r="C94" s="71"/>
      <c r="E94" s="69"/>
      <c r="G94" s="21"/>
      <c r="H94" s="19"/>
      <c r="I94" s="19"/>
    </row>
    <row r="95" spans="2:9" ht="15" customHeight="1" x14ac:dyDescent="0.15">
      <c r="B95" s="71"/>
      <c r="C95" s="71"/>
      <c r="E95" s="69"/>
      <c r="G95" s="21"/>
      <c r="H95" s="19"/>
      <c r="I95" s="19"/>
    </row>
    <row r="96" spans="2:9" ht="15" customHeight="1" x14ac:dyDescent="0.15">
      <c r="B96" s="71"/>
      <c r="C96" s="71"/>
      <c r="E96" s="69"/>
      <c r="G96" s="21"/>
      <c r="H96" s="19"/>
      <c r="I96" s="19"/>
    </row>
    <row r="97" spans="2:9" ht="15" customHeight="1" x14ac:dyDescent="0.15">
      <c r="B97" s="71"/>
      <c r="C97" s="71"/>
      <c r="E97" s="69"/>
      <c r="G97" s="21"/>
      <c r="H97" s="19"/>
      <c r="I97" s="19"/>
    </row>
    <row r="98" spans="2:9" ht="15" customHeight="1" x14ac:dyDescent="0.15">
      <c r="B98" s="71"/>
      <c r="C98" s="71"/>
      <c r="E98" s="69"/>
      <c r="G98" s="21"/>
      <c r="H98" s="19"/>
      <c r="I98" s="19"/>
    </row>
    <row r="99" spans="2:9" ht="15" customHeight="1" x14ac:dyDescent="0.15">
      <c r="B99" s="71"/>
      <c r="C99" s="71"/>
      <c r="E99" s="69"/>
      <c r="G99" s="21"/>
      <c r="H99" s="19"/>
      <c r="I99" s="19"/>
    </row>
    <row r="100" spans="2:9" ht="15" customHeight="1" x14ac:dyDescent="0.15">
      <c r="B100" s="71"/>
      <c r="C100" s="71"/>
      <c r="E100" s="69"/>
      <c r="G100" s="21"/>
      <c r="H100" s="19"/>
      <c r="I100" s="19"/>
    </row>
    <row r="101" spans="2:9" ht="15" customHeight="1" x14ac:dyDescent="0.15">
      <c r="G101" s="21"/>
      <c r="H101" s="19"/>
    </row>
    <row r="102" spans="2:9" ht="15" customHeight="1" x14ac:dyDescent="0.15">
      <c r="G102" s="21"/>
      <c r="H102" s="19"/>
    </row>
    <row r="103" spans="2:9" ht="15" customHeight="1" x14ac:dyDescent="0.15">
      <c r="G103" s="21"/>
      <c r="H103" s="19"/>
    </row>
    <row r="104" spans="2:9" ht="15" customHeight="1" x14ac:dyDescent="0.15">
      <c r="G104" s="21"/>
      <c r="H104" s="19"/>
    </row>
    <row r="105" spans="2:9" ht="15" customHeight="1" x14ac:dyDescent="0.15">
      <c r="G105" s="21"/>
      <c r="H105" s="19"/>
    </row>
    <row r="106" spans="2:9" ht="15" customHeight="1" x14ac:dyDescent="0.15">
      <c r="G106" s="21"/>
      <c r="H106" s="19"/>
    </row>
    <row r="107" spans="2:9" ht="15" customHeight="1" x14ac:dyDescent="0.15">
      <c r="G107" s="21"/>
      <c r="H107" s="19"/>
    </row>
    <row r="108" spans="2:9" ht="15" customHeight="1" x14ac:dyDescent="0.15">
      <c r="G108" s="21"/>
      <c r="H108" s="19"/>
    </row>
    <row r="109" spans="2:9" ht="15" customHeight="1" x14ac:dyDescent="0.15">
      <c r="G109" s="21"/>
      <c r="H109" s="19"/>
    </row>
    <row r="110" spans="2:9" ht="15" customHeight="1" x14ac:dyDescent="0.15">
      <c r="G110" s="21"/>
      <c r="H110" s="19"/>
    </row>
  </sheetData>
  <mergeCells count="9">
    <mergeCell ref="A1:XFD1"/>
    <mergeCell ref="A6:B6"/>
    <mergeCell ref="C6:F6"/>
    <mergeCell ref="A3:B3"/>
    <mergeCell ref="C3:F3"/>
    <mergeCell ref="A4:B4"/>
    <mergeCell ref="C4:F4"/>
    <mergeCell ref="A5:B5"/>
    <mergeCell ref="C5:F5"/>
  </mergeCells>
  <conditionalFormatting sqref="A9:D108 F9:I108">
    <cfRule type="expression" dxfId="10" priority="1">
      <formula>AND(COUNTA($A9:$M9)&gt;0,ISBLANK(A9))</formula>
    </cfRule>
  </conditionalFormatting>
  <conditionalFormatting sqref="C3">
    <cfRule type="containsBlanks" dxfId="9" priority="2">
      <formula>LEN(TRIM(C3))=0</formula>
    </cfRule>
  </conditionalFormatting>
  <dataValidations count="9">
    <dataValidation type="list" showErrorMessage="1" sqref="C3" xr:uid="{4921A534-A694-9345-8C75-2A41EEC9B62A}">
      <formula1>GeneralCondition</formula1>
    </dataValidation>
    <dataValidation type="list" allowBlank="1" showErrorMessage="1" sqref="C4" xr:uid="{BFE3D3A0-73FE-AB46-9334-965994B2F0F4}">
      <formula1>Prioritization</formula1>
    </dataValidation>
    <dataValidation type="textLength" operator="lessThanOrEqual" allowBlank="1" showInputMessage="1" showErrorMessage="1" prompt="Max. 1000 Zeichen." sqref="C5:C6" xr:uid="{2F55F6CF-2728-D741-9EC1-7176F8490EA5}">
      <formula1>1000</formula1>
    </dataValidation>
    <dataValidation type="list" showInputMessage="1" prompt="Max. 5 Zeichen." sqref="A9:A108" xr:uid="{4F628B66-326F-084D-8461-E3D8E56A2A71}">
      <formula1>WS16ExpertCodes</formula1>
    </dataValidation>
    <dataValidation type="list" showErrorMessage="1" sqref="B9:B108" xr:uid="{7AE13F38-B461-1E4C-9991-79ECE3BDF36C}">
      <formula1>ElectricityProducerType</formula1>
    </dataValidation>
    <dataValidation type="list" showInputMessage="1" showErrorMessage="1" prompt="Max. 5 Zeichen." sqref="C9:C108" xr:uid="{E568DCFD-E0E0-2D41-B1FA-A532E8BBCE1F}">
      <formula1>HeatProducerExpertCodes</formula1>
    </dataValidation>
    <dataValidation type="list" showErrorMessage="1" sqref="I9:I108" xr:uid="{D415F997-7AC7-DF4C-B0D5-D816AD9EF881}">
      <formula1>Boolean</formula1>
    </dataValidation>
    <dataValidation type="list" showErrorMessage="1" sqref="L9:L108" xr:uid="{9FCEA3E7-C7B5-B641-81EE-7600553CC00C}">
      <formula1>CalculationBase_OnlyLump</formula1>
    </dataValidation>
    <dataValidation type="textLength" operator="lessThanOrEqual" allowBlank="1" showInputMessage="1" showErrorMessage="1" prompt="Max. 250 Zeichen." sqref="D9:D109" xr:uid="{887A9092-B66C-904D-92E7-9D737CCC3FC9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CD3A-F0E4-C440-ADB7-9EA19181830B}">
  <dimension ref="A1:W107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71" customWidth="1"/>
    <col min="2" max="2" width="12.5" style="1" customWidth="1"/>
    <col min="3" max="3" width="29.5" style="1" customWidth="1"/>
    <col min="4" max="4" width="31.6640625" style="1" customWidth="1"/>
    <col min="5" max="5" width="23.5" style="1" customWidth="1"/>
    <col min="6" max="6" width="25.5" style="1" customWidth="1"/>
    <col min="7" max="7" width="22.33203125" style="1" customWidth="1"/>
    <col min="8" max="8" width="20.5" style="1" customWidth="1"/>
    <col min="9" max="9" width="16.6640625" style="1" bestFit="1" customWidth="1"/>
    <col min="10" max="10" width="23" style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73" customFormat="1" ht="15" customHeight="1" thickBot="1" x14ac:dyDescent="0.2">
      <c r="A1" s="153" t="s">
        <v>195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</row>
    <row r="2" spans="1:23" ht="40.5" customHeight="1" x14ac:dyDescent="0.15"/>
    <row r="3" spans="1:23" s="26" customFormat="1" ht="30" customHeight="1" x14ac:dyDescent="0.15">
      <c r="A3" s="139" t="s">
        <v>342</v>
      </c>
      <c r="B3" s="167"/>
      <c r="C3" s="141"/>
      <c r="D3" s="141"/>
      <c r="E3" s="141"/>
      <c r="F3" s="141"/>
    </row>
    <row r="4" spans="1:23" ht="15" customHeight="1" x14ac:dyDescent="0.15">
      <c r="A4" s="132" t="s">
        <v>193</v>
      </c>
      <c r="B4" s="192"/>
      <c r="C4" s="141"/>
      <c r="D4" s="141"/>
      <c r="E4" s="141"/>
      <c r="F4" s="141"/>
      <c r="G4" s="19"/>
      <c r="H4" s="24"/>
      <c r="I4" s="19"/>
    </row>
    <row r="5" spans="1:23" ht="62.25" customHeight="1" x14ac:dyDescent="0.15">
      <c r="A5" s="145" t="s">
        <v>18</v>
      </c>
      <c r="B5" s="151"/>
      <c r="C5" s="141"/>
      <c r="D5" s="141"/>
      <c r="E5" s="141"/>
      <c r="F5" s="141"/>
      <c r="G5" s="19"/>
      <c r="H5" s="24"/>
      <c r="I5" s="19"/>
    </row>
    <row r="6" spans="1:23" ht="62.25" customHeight="1" x14ac:dyDescent="0.15">
      <c r="A6" s="145" t="s">
        <v>91</v>
      </c>
      <c r="B6" s="151"/>
      <c r="C6" s="141"/>
      <c r="D6" s="141"/>
      <c r="E6" s="141"/>
      <c r="F6" s="141"/>
      <c r="G6" s="19"/>
      <c r="H6" s="24"/>
      <c r="I6" s="19"/>
    </row>
    <row r="7" spans="1:23" ht="15" customHeight="1" x14ac:dyDescent="0.15">
      <c r="B7" s="71"/>
      <c r="C7" s="71"/>
      <c r="E7" s="69"/>
      <c r="G7" s="19"/>
      <c r="H7" s="24"/>
      <c r="I7" s="19"/>
    </row>
    <row r="8" spans="1:23" s="195" customFormat="1" ht="15" customHeight="1" x14ac:dyDescent="0.15">
      <c r="A8" s="193" t="s">
        <v>57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spans="1:23" ht="15" customHeight="1" x14ac:dyDescent="0.15">
      <c r="B9" s="71"/>
      <c r="C9" s="71"/>
      <c r="E9" s="69"/>
      <c r="G9" s="19"/>
      <c r="H9" s="24"/>
      <c r="I9" s="19"/>
    </row>
    <row r="10" spans="1:23" ht="34.5" customHeight="1" x14ac:dyDescent="0.2">
      <c r="A10" s="78" t="s">
        <v>16</v>
      </c>
      <c r="B10" s="79" t="s">
        <v>206</v>
      </c>
      <c r="C10" s="77" t="s">
        <v>27</v>
      </c>
      <c r="D10" s="77" t="s">
        <v>207</v>
      </c>
      <c r="E10" s="79" t="s">
        <v>208</v>
      </c>
      <c r="F10" s="79" t="s">
        <v>201</v>
      </c>
      <c r="G10" s="79" t="s">
        <v>204</v>
      </c>
      <c r="H10" s="79" t="s">
        <v>205</v>
      </c>
      <c r="I10" s="76" t="s">
        <v>196</v>
      </c>
      <c r="J10" s="76" t="s">
        <v>197</v>
      </c>
      <c r="N10"/>
      <c r="O10"/>
      <c r="P10"/>
      <c r="Q10"/>
      <c r="R10"/>
      <c r="S10"/>
      <c r="T10"/>
      <c r="U10"/>
      <c r="V10"/>
      <c r="W10"/>
    </row>
    <row r="12" spans="1:23" ht="15" customHeight="1" x14ac:dyDescent="0.15">
      <c r="B12" s="71"/>
      <c r="C12" s="71"/>
    </row>
    <row r="13" spans="1:23" ht="15" customHeight="1" x14ac:dyDescent="0.15">
      <c r="B13" s="71"/>
      <c r="C13" s="71"/>
    </row>
    <row r="14" spans="1:23" ht="15" customHeight="1" x14ac:dyDescent="0.15">
      <c r="B14" s="71"/>
      <c r="C14" s="71"/>
    </row>
    <row r="15" spans="1:23" ht="15" customHeight="1" x14ac:dyDescent="0.15">
      <c r="B15" s="71"/>
      <c r="C15" s="71"/>
      <c r="E15" s="69"/>
      <c r="G15" s="19"/>
      <c r="H15" s="24"/>
      <c r="I15" s="19"/>
    </row>
    <row r="16" spans="1:23" s="194" customFormat="1" ht="15" customHeight="1" x14ac:dyDescent="0.15">
      <c r="A16" s="196" t="s">
        <v>90</v>
      </c>
    </row>
    <row r="17" spans="1:23" ht="15" customHeight="1" x14ac:dyDescent="0.15">
      <c r="B17" s="71"/>
      <c r="C17" s="71"/>
      <c r="E17" s="69"/>
      <c r="G17" s="19"/>
      <c r="H17" s="24"/>
      <c r="I17" s="19"/>
    </row>
    <row r="18" spans="1:23" ht="33" customHeight="1" x14ac:dyDescent="0.2">
      <c r="A18" s="99" t="s">
        <v>16</v>
      </c>
      <c r="B18" s="99" t="s">
        <v>21</v>
      </c>
      <c r="C18" s="99" t="s">
        <v>190</v>
      </c>
      <c r="D18" s="95" t="s">
        <v>27</v>
      </c>
      <c r="E18" s="106" t="s">
        <v>199</v>
      </c>
      <c r="F18" s="95" t="s">
        <v>55</v>
      </c>
      <c r="G18" s="107" t="s">
        <v>200</v>
      </c>
      <c r="H18" s="107" t="s">
        <v>202</v>
      </c>
      <c r="I18" s="95" t="s">
        <v>203</v>
      </c>
      <c r="J18" s="108" t="s">
        <v>201</v>
      </c>
      <c r="K18" s="95" t="s">
        <v>204</v>
      </c>
      <c r="L18" s="95" t="s">
        <v>205</v>
      </c>
      <c r="M18" s="95" t="s">
        <v>196</v>
      </c>
      <c r="N18" s="95" t="s">
        <v>197</v>
      </c>
      <c r="O18"/>
      <c r="P18"/>
      <c r="Q18"/>
      <c r="R18"/>
      <c r="S18"/>
      <c r="T18"/>
      <c r="U18"/>
      <c r="V18"/>
      <c r="W18"/>
    </row>
    <row r="20" spans="1:23" ht="15" customHeight="1" x14ac:dyDescent="0.15">
      <c r="B20" s="71"/>
      <c r="C20" s="71"/>
    </row>
    <row r="21" spans="1:23" ht="15" customHeight="1" x14ac:dyDescent="0.15">
      <c r="B21" s="71"/>
      <c r="C21" s="71"/>
    </row>
    <row r="22" spans="1:23" ht="15" customHeight="1" x14ac:dyDescent="0.15">
      <c r="B22" s="71"/>
      <c r="C22" s="71"/>
    </row>
    <row r="23" spans="1:23" ht="15" customHeight="1" x14ac:dyDescent="0.15">
      <c r="B23" s="71"/>
      <c r="C23" s="71"/>
    </row>
    <row r="24" spans="1:23" ht="15" customHeight="1" x14ac:dyDescent="0.15">
      <c r="B24" s="71"/>
      <c r="C24" s="71"/>
    </row>
    <row r="25" spans="1:23" ht="15" customHeight="1" x14ac:dyDescent="0.15">
      <c r="B25" s="71"/>
      <c r="C25" s="71"/>
    </row>
    <row r="26" spans="1:23" ht="15" customHeight="1" x14ac:dyDescent="0.15">
      <c r="B26" s="71"/>
      <c r="C26" s="71"/>
    </row>
    <row r="27" spans="1:23" ht="15" customHeight="1" x14ac:dyDescent="0.15">
      <c r="B27" s="71"/>
      <c r="C27" s="71"/>
    </row>
    <row r="28" spans="1:23" ht="15" customHeight="1" x14ac:dyDescent="0.15">
      <c r="B28" s="71"/>
      <c r="C28" s="71"/>
    </row>
    <row r="29" spans="1:23" ht="15" customHeight="1" x14ac:dyDescent="0.15">
      <c r="B29" s="71"/>
      <c r="C29" s="71"/>
    </row>
    <row r="30" spans="1:23" ht="15" customHeight="1" x14ac:dyDescent="0.15">
      <c r="B30" s="71"/>
      <c r="C30" s="71"/>
    </row>
    <row r="31" spans="1:23" ht="15" customHeight="1" x14ac:dyDescent="0.15">
      <c r="B31" s="71"/>
      <c r="C31" s="71"/>
    </row>
    <row r="32" spans="1:23" ht="15" customHeight="1" x14ac:dyDescent="0.15">
      <c r="B32" s="71"/>
      <c r="C32" s="71"/>
    </row>
    <row r="33" spans="2:3" ht="15" customHeight="1" x14ac:dyDescent="0.15">
      <c r="B33" s="71"/>
      <c r="C33" s="71"/>
    </row>
    <row r="34" spans="2:3" ht="15" customHeight="1" x14ac:dyDescent="0.15">
      <c r="B34" s="71"/>
      <c r="C34" s="71"/>
    </row>
    <row r="35" spans="2:3" ht="15" customHeight="1" x14ac:dyDescent="0.15">
      <c r="B35" s="71"/>
      <c r="C35" s="71"/>
    </row>
    <row r="36" spans="2:3" ht="15" customHeight="1" x14ac:dyDescent="0.15">
      <c r="B36" s="71"/>
      <c r="C36" s="71"/>
    </row>
    <row r="37" spans="2:3" ht="15" customHeight="1" x14ac:dyDescent="0.15">
      <c r="B37" s="71"/>
      <c r="C37" s="71"/>
    </row>
    <row r="38" spans="2:3" ht="15" customHeight="1" x14ac:dyDescent="0.15">
      <c r="B38" s="71"/>
      <c r="C38" s="71"/>
    </row>
    <row r="39" spans="2:3" ht="15" customHeight="1" x14ac:dyDescent="0.15">
      <c r="B39" s="71"/>
      <c r="C39" s="71"/>
    </row>
    <row r="40" spans="2:3" ht="15" customHeight="1" x14ac:dyDescent="0.15">
      <c r="B40" s="71"/>
      <c r="C40" s="71"/>
    </row>
    <row r="41" spans="2:3" ht="15" customHeight="1" x14ac:dyDescent="0.15">
      <c r="B41" s="71"/>
      <c r="C41" s="71"/>
    </row>
    <row r="42" spans="2:3" ht="15" customHeight="1" x14ac:dyDescent="0.15">
      <c r="B42" s="71"/>
      <c r="C42" s="71"/>
    </row>
    <row r="43" spans="2:3" ht="15" customHeight="1" x14ac:dyDescent="0.15">
      <c r="B43" s="71"/>
      <c r="C43" s="71"/>
    </row>
    <row r="44" spans="2:3" ht="15" customHeight="1" x14ac:dyDescent="0.15">
      <c r="B44" s="71"/>
      <c r="C44" s="71"/>
    </row>
    <row r="45" spans="2:3" ht="15" customHeight="1" x14ac:dyDescent="0.15">
      <c r="B45" s="71"/>
      <c r="C45" s="71"/>
    </row>
    <row r="46" spans="2:3" ht="15" customHeight="1" x14ac:dyDescent="0.15">
      <c r="B46" s="71"/>
      <c r="C46" s="71"/>
    </row>
    <row r="47" spans="2:3" ht="15" customHeight="1" x14ac:dyDescent="0.15">
      <c r="B47" s="71"/>
      <c r="C47" s="71"/>
    </row>
    <row r="48" spans="2:3" ht="15" customHeight="1" x14ac:dyDescent="0.15">
      <c r="B48" s="71"/>
      <c r="C48" s="71"/>
    </row>
    <row r="49" spans="2:3" ht="15" customHeight="1" x14ac:dyDescent="0.15">
      <c r="B49" s="71"/>
      <c r="C49" s="71"/>
    </row>
    <row r="50" spans="2:3" ht="15" customHeight="1" x14ac:dyDescent="0.15">
      <c r="B50" s="71"/>
      <c r="C50" s="71"/>
    </row>
    <row r="51" spans="2:3" ht="15" customHeight="1" x14ac:dyDescent="0.15">
      <c r="B51" s="71"/>
      <c r="C51" s="71"/>
    </row>
    <row r="52" spans="2:3" ht="15" customHeight="1" x14ac:dyDescent="0.15">
      <c r="B52" s="71"/>
      <c r="C52" s="71"/>
    </row>
    <row r="53" spans="2:3" ht="15" customHeight="1" x14ac:dyDescent="0.15">
      <c r="B53" s="71"/>
      <c r="C53" s="71"/>
    </row>
    <row r="54" spans="2:3" ht="15" customHeight="1" x14ac:dyDescent="0.15">
      <c r="B54" s="71"/>
      <c r="C54" s="71"/>
    </row>
    <row r="55" spans="2:3" ht="15" customHeight="1" x14ac:dyDescent="0.15">
      <c r="B55" s="71"/>
      <c r="C55" s="71"/>
    </row>
    <row r="56" spans="2:3" ht="15" customHeight="1" x14ac:dyDescent="0.15">
      <c r="B56" s="71"/>
      <c r="C56" s="71"/>
    </row>
    <row r="57" spans="2:3" ht="15" customHeight="1" x14ac:dyDescent="0.15">
      <c r="B57" s="71"/>
      <c r="C57" s="71"/>
    </row>
    <row r="58" spans="2:3" ht="15" customHeight="1" x14ac:dyDescent="0.15">
      <c r="B58" s="71"/>
      <c r="C58" s="71"/>
    </row>
    <row r="59" spans="2:3" ht="15" customHeight="1" x14ac:dyDescent="0.15">
      <c r="B59" s="71"/>
      <c r="C59" s="71"/>
    </row>
    <row r="60" spans="2:3" ht="15" customHeight="1" x14ac:dyDescent="0.15">
      <c r="B60" s="71"/>
      <c r="C60" s="71"/>
    </row>
    <row r="61" spans="2:3" ht="15" customHeight="1" x14ac:dyDescent="0.15">
      <c r="B61" s="71"/>
      <c r="C61" s="71"/>
    </row>
    <row r="62" spans="2:3" ht="15" customHeight="1" x14ac:dyDescent="0.15">
      <c r="B62" s="71"/>
      <c r="C62" s="71"/>
    </row>
    <row r="63" spans="2:3" ht="15" customHeight="1" x14ac:dyDescent="0.15">
      <c r="B63" s="71"/>
      <c r="C63" s="71"/>
    </row>
    <row r="64" spans="2:3" ht="15" customHeight="1" x14ac:dyDescent="0.15">
      <c r="B64" s="71"/>
      <c r="C64" s="71"/>
    </row>
    <row r="65" spans="2:3" ht="15" customHeight="1" x14ac:dyDescent="0.15">
      <c r="B65" s="71"/>
      <c r="C65" s="71"/>
    </row>
    <row r="66" spans="2:3" ht="15" customHeight="1" x14ac:dyDescent="0.15">
      <c r="B66" s="71"/>
      <c r="C66" s="71"/>
    </row>
    <row r="67" spans="2:3" ht="15" customHeight="1" x14ac:dyDescent="0.15">
      <c r="B67" s="71"/>
      <c r="C67" s="71"/>
    </row>
    <row r="68" spans="2:3" ht="15" customHeight="1" x14ac:dyDescent="0.15">
      <c r="B68" s="71"/>
      <c r="C68" s="71"/>
    </row>
    <row r="69" spans="2:3" ht="15" customHeight="1" x14ac:dyDescent="0.15">
      <c r="B69" s="71"/>
      <c r="C69" s="71"/>
    </row>
    <row r="70" spans="2:3" ht="15" customHeight="1" x14ac:dyDescent="0.15">
      <c r="B70" s="71"/>
      <c r="C70" s="71"/>
    </row>
    <row r="71" spans="2:3" ht="15" customHeight="1" x14ac:dyDescent="0.15">
      <c r="B71" s="71"/>
      <c r="C71" s="71"/>
    </row>
    <row r="72" spans="2:3" ht="15" customHeight="1" x14ac:dyDescent="0.15">
      <c r="B72" s="71"/>
      <c r="C72" s="71"/>
    </row>
    <row r="73" spans="2:3" ht="15" customHeight="1" x14ac:dyDescent="0.15">
      <c r="B73" s="71"/>
      <c r="C73" s="71"/>
    </row>
    <row r="74" spans="2:3" ht="15" customHeight="1" x14ac:dyDescent="0.15">
      <c r="B74" s="71"/>
      <c r="C74" s="71"/>
    </row>
    <row r="75" spans="2:3" ht="15" customHeight="1" x14ac:dyDescent="0.15">
      <c r="B75" s="71"/>
      <c r="C75" s="71"/>
    </row>
    <row r="76" spans="2:3" ht="15" customHeight="1" x14ac:dyDescent="0.15">
      <c r="B76" s="71"/>
      <c r="C76" s="71"/>
    </row>
    <row r="77" spans="2:3" ht="15" customHeight="1" x14ac:dyDescent="0.15">
      <c r="B77" s="71"/>
      <c r="C77" s="71"/>
    </row>
    <row r="78" spans="2:3" ht="15" customHeight="1" x14ac:dyDescent="0.15">
      <c r="B78" s="71"/>
      <c r="C78" s="71"/>
    </row>
    <row r="79" spans="2:3" ht="15" customHeight="1" x14ac:dyDescent="0.15">
      <c r="B79" s="71"/>
      <c r="C79" s="71"/>
    </row>
    <row r="80" spans="2:3" ht="15" customHeight="1" x14ac:dyDescent="0.15">
      <c r="B80" s="71"/>
      <c r="C80" s="71"/>
    </row>
    <row r="81" spans="2:3" ht="15" customHeight="1" x14ac:dyDescent="0.15">
      <c r="B81" s="71"/>
      <c r="C81" s="71"/>
    </row>
    <row r="82" spans="2:3" ht="15" customHeight="1" x14ac:dyDescent="0.15">
      <c r="B82" s="71"/>
      <c r="C82" s="71"/>
    </row>
    <row r="83" spans="2:3" ht="15" customHeight="1" x14ac:dyDescent="0.15">
      <c r="B83" s="71"/>
      <c r="C83" s="71"/>
    </row>
    <row r="84" spans="2:3" ht="15" customHeight="1" x14ac:dyDescent="0.15">
      <c r="B84" s="71"/>
      <c r="C84" s="71"/>
    </row>
    <row r="85" spans="2:3" ht="15" customHeight="1" x14ac:dyDescent="0.15">
      <c r="B85" s="71"/>
      <c r="C85" s="71"/>
    </row>
    <row r="86" spans="2:3" ht="15" customHeight="1" x14ac:dyDescent="0.15">
      <c r="B86" s="71"/>
      <c r="C86" s="71"/>
    </row>
    <row r="87" spans="2:3" ht="15" customHeight="1" x14ac:dyDescent="0.15">
      <c r="B87" s="71"/>
      <c r="C87" s="71"/>
    </row>
    <row r="88" spans="2:3" ht="15" customHeight="1" x14ac:dyDescent="0.15">
      <c r="B88" s="71"/>
      <c r="C88" s="71"/>
    </row>
    <row r="89" spans="2:3" ht="15" customHeight="1" x14ac:dyDescent="0.15">
      <c r="B89" s="71"/>
      <c r="C89" s="71"/>
    </row>
    <row r="90" spans="2:3" ht="15" customHeight="1" x14ac:dyDescent="0.15">
      <c r="B90" s="71"/>
      <c r="C90" s="71"/>
    </row>
    <row r="91" spans="2:3" ht="15" customHeight="1" x14ac:dyDescent="0.15">
      <c r="B91" s="71"/>
      <c r="C91" s="71"/>
    </row>
    <row r="92" spans="2:3" ht="15" customHeight="1" x14ac:dyDescent="0.15">
      <c r="B92" s="71"/>
      <c r="C92" s="71"/>
    </row>
    <row r="93" spans="2:3" ht="15" customHeight="1" x14ac:dyDescent="0.15">
      <c r="B93" s="71"/>
      <c r="C93" s="71"/>
    </row>
    <row r="94" spans="2:3" ht="15" customHeight="1" x14ac:dyDescent="0.15">
      <c r="B94" s="71"/>
      <c r="C94" s="71"/>
    </row>
    <row r="95" spans="2:3" ht="15" customHeight="1" x14ac:dyDescent="0.15">
      <c r="B95" s="71"/>
      <c r="C95" s="71"/>
    </row>
    <row r="96" spans="2:3" ht="15" customHeight="1" x14ac:dyDescent="0.15">
      <c r="B96" s="71"/>
      <c r="C96" s="71"/>
    </row>
    <row r="97" spans="2:3" ht="15" customHeight="1" x14ac:dyDescent="0.15">
      <c r="B97" s="71"/>
      <c r="C97" s="71"/>
    </row>
    <row r="98" spans="2:3" ht="15" customHeight="1" x14ac:dyDescent="0.15">
      <c r="B98" s="71"/>
      <c r="C98" s="71"/>
    </row>
    <row r="99" spans="2:3" ht="15" customHeight="1" x14ac:dyDescent="0.15">
      <c r="B99" s="71"/>
      <c r="C99" s="71"/>
    </row>
    <row r="100" spans="2:3" ht="15" customHeight="1" x14ac:dyDescent="0.15">
      <c r="B100" s="71"/>
      <c r="C100" s="71"/>
    </row>
    <row r="101" spans="2:3" ht="15" customHeight="1" x14ac:dyDescent="0.15">
      <c r="B101" s="71"/>
      <c r="C101" s="71"/>
    </row>
    <row r="102" spans="2:3" ht="15" customHeight="1" x14ac:dyDescent="0.15">
      <c r="B102" s="71"/>
      <c r="C102" s="71"/>
    </row>
    <row r="103" spans="2:3" ht="15" customHeight="1" x14ac:dyDescent="0.15">
      <c r="B103" s="71"/>
      <c r="C103" s="71"/>
    </row>
    <row r="104" spans="2:3" ht="15" customHeight="1" x14ac:dyDescent="0.15">
      <c r="B104" s="71"/>
      <c r="C104" s="71"/>
    </row>
    <row r="105" spans="2:3" ht="15" customHeight="1" x14ac:dyDescent="0.15">
      <c r="B105" s="71"/>
      <c r="C105" s="71"/>
    </row>
    <row r="106" spans="2:3" ht="15" customHeight="1" x14ac:dyDescent="0.15">
      <c r="B106" s="71"/>
      <c r="C106" s="71"/>
    </row>
    <row r="107" spans="2:3" ht="15" customHeight="1" x14ac:dyDescent="0.15">
      <c r="B107" s="71"/>
      <c r="C107" s="71"/>
    </row>
  </sheetData>
  <mergeCells count="11">
    <mergeCell ref="A1:XFD1"/>
    <mergeCell ref="A3:B3"/>
    <mergeCell ref="C3:F3"/>
    <mergeCell ref="A4:B4"/>
    <mergeCell ref="C4:F4"/>
    <mergeCell ref="C5:F5"/>
    <mergeCell ref="A8:XFD8"/>
    <mergeCell ref="A16:XFD16"/>
    <mergeCell ref="A6:B6"/>
    <mergeCell ref="C6:F6"/>
    <mergeCell ref="A5:B5"/>
  </mergeCells>
  <conditionalFormatting sqref="A8">
    <cfRule type="containsBlanks" dxfId="8" priority="1">
      <formula>LEN(TRIM(A8))=0</formula>
    </cfRule>
  </conditionalFormatting>
  <conditionalFormatting sqref="A16">
    <cfRule type="containsBlanks" dxfId="7" priority="3">
      <formula>LEN(TRIM(A16))=0</formula>
    </cfRule>
  </conditionalFormatting>
  <conditionalFormatting sqref="A19:D118 F19:J118">
    <cfRule type="expression" dxfId="6" priority="2">
      <formula>AND(COUNTA($A19:$N19)&gt;0,ISBLANK(A19))</formula>
    </cfRule>
  </conditionalFormatting>
  <conditionalFormatting sqref="C3">
    <cfRule type="containsBlanks" dxfId="5" priority="4">
      <formula>LEN(TRIM(C3))=0</formula>
    </cfRule>
  </conditionalFormatting>
  <dataValidations count="11">
    <dataValidation type="list" showErrorMessage="1" sqref="C3" xr:uid="{D6CD8273-D0F9-E744-840B-977A442541A3}">
      <formula1>GeneralCondition</formula1>
    </dataValidation>
    <dataValidation type="list" allowBlank="1" showErrorMessage="1" sqref="C4" xr:uid="{C98B1C7E-4AF1-AC40-A8FF-BD71C443CA04}">
      <formula1>Prioritization</formula1>
    </dataValidation>
    <dataValidation type="textLength" operator="lessThanOrEqual" allowBlank="1" showInputMessage="1" showErrorMessage="1" prompt="Max. 1000 Zeichen." sqref="C5:C6" xr:uid="{80BE62C0-3993-AA43-8642-31FF89C59E99}">
      <formula1>1000</formula1>
    </dataValidation>
    <dataValidation type="list" showInputMessage="1" prompt="Max. 5 Zeichen." sqref="A19:A118" xr:uid="{87830ECD-1CB8-DE41-A67A-B640A752B27F}">
      <formula1>WS17ExpertCodes</formula1>
    </dataValidation>
    <dataValidation type="list" showErrorMessage="1" sqref="B19:B118" xr:uid="{92B1B691-A9DC-054E-A89F-DC486D598F9A}">
      <formula1>ElectricityProducerType</formula1>
    </dataValidation>
    <dataValidation type="list" showInputMessage="1" showErrorMessage="1" prompt="Max. 5 Zeichen." sqref="C19:C118" xr:uid="{73DAB5D4-C681-2145-ACFD-AEB2C564335C}">
      <formula1>HeatProducerExpertCodes</formula1>
    </dataValidation>
    <dataValidation type="list" showErrorMessage="1" sqref="M19:M118 I11" xr:uid="{14478E99-6D90-6D43-9918-80A4FD872E36}">
      <formula1>CalculationBase_OnlyLump</formula1>
    </dataValidation>
    <dataValidation type="textLength" operator="lessThanOrEqual" allowBlank="1" showInputMessage="1" showErrorMessage="1" prompt="Max. 250 Zeichen." sqref="D19:D119" xr:uid="{C6E8B7DB-2F65-3942-A09A-FB96084051A2}">
      <formula1>250</formula1>
    </dataValidation>
    <dataValidation type="list" sqref="A11" xr:uid="{5169C6BB-F107-204C-A736-17AABA1B218F}">
      <formula1>EMS_ExpertCode</formula1>
    </dataValidation>
    <dataValidation type="list" showErrorMessage="1" sqref="B11" xr:uid="{47C89819-E10E-ED49-8F7F-A10EBB43EA2C}">
      <formula1>EnergyManagementSystemType</formula1>
    </dataValidation>
    <dataValidation type="list" showErrorMessage="1" sqref="D11" xr:uid="{BFADD6EB-A660-E541-A141-5304D4D153E7}">
      <formula1>Boolean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9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3E87-B8E2-864F-AB24-BAF81CBBF655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4.33203125" style="1" customWidth="1"/>
    <col min="6" max="6" width="14.83203125" style="1" customWidth="1"/>
    <col min="7" max="9" width="9.6640625" style="1" customWidth="1"/>
    <col min="10" max="10" width="15.5" style="1" customWidth="1"/>
    <col min="11" max="11" width="22.33203125" style="1" customWidth="1"/>
    <col min="12" max="12" width="17.83203125" style="1" customWidth="1"/>
    <col min="13" max="13" width="13.5" style="1" customWidth="1"/>
    <col min="14" max="14" width="25.33203125" style="1" customWidth="1"/>
    <col min="15" max="15" width="15.5" style="1" customWidth="1"/>
    <col min="16" max="16384" width="9.1640625" style="1"/>
  </cols>
  <sheetData>
    <row r="1" spans="1:15" ht="15" customHeight="1" x14ac:dyDescent="0.15">
      <c r="A1" s="197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</row>
    <row r="2" spans="1:15" ht="27.75" customHeight="1" x14ac:dyDescent="0.15">
      <c r="G2" s="21"/>
    </row>
    <row r="3" spans="1:15" ht="15" customHeight="1" x14ac:dyDescent="0.15">
      <c r="A3" s="40"/>
      <c r="G3" s="185" t="s">
        <v>67</v>
      </c>
      <c r="H3" s="181"/>
      <c r="I3" s="182"/>
    </row>
    <row r="4" spans="1:15" s="26" customFormat="1" ht="30" customHeight="1" x14ac:dyDescent="0.15">
      <c r="A4" s="95" t="s">
        <v>16</v>
      </c>
      <c r="B4" s="104" t="s">
        <v>27</v>
      </c>
      <c r="C4" s="104" t="s">
        <v>161</v>
      </c>
      <c r="D4" s="104" t="s">
        <v>61</v>
      </c>
      <c r="E4" s="104" t="s">
        <v>62</v>
      </c>
      <c r="F4" s="104" t="s">
        <v>201</v>
      </c>
      <c r="G4" s="104" t="s">
        <v>68</v>
      </c>
      <c r="H4" s="104" t="s">
        <v>69</v>
      </c>
      <c r="I4" s="104" t="s">
        <v>70</v>
      </c>
      <c r="J4" s="104" t="s">
        <v>119</v>
      </c>
      <c r="K4" s="104" t="s">
        <v>21</v>
      </c>
      <c r="L4" s="95" t="s">
        <v>204</v>
      </c>
      <c r="M4" s="95" t="s">
        <v>205</v>
      </c>
      <c r="N4" s="95" t="s">
        <v>196</v>
      </c>
      <c r="O4" s="95" t="s">
        <v>197</v>
      </c>
    </row>
    <row r="5" spans="1:15" ht="15" customHeight="1" x14ac:dyDescent="0.15">
      <c r="G5" s="21"/>
      <c r="H5" s="21"/>
      <c r="I5" s="21"/>
    </row>
    <row r="6" spans="1:15" ht="15" customHeight="1" x14ac:dyDescent="0.15">
      <c r="G6" s="21"/>
      <c r="H6" s="21"/>
      <c r="I6" s="21"/>
    </row>
    <row r="7" spans="1:15" ht="15" customHeight="1" x14ac:dyDescent="0.15">
      <c r="G7" s="21"/>
      <c r="H7" s="21"/>
      <c r="I7" s="21"/>
    </row>
    <row r="8" spans="1:15" ht="15" customHeight="1" x14ac:dyDescent="0.15">
      <c r="G8" s="21"/>
      <c r="H8" s="21"/>
      <c r="I8" s="21"/>
    </row>
    <row r="9" spans="1:15" ht="15" customHeight="1" x14ac:dyDescent="0.15">
      <c r="G9" s="21"/>
      <c r="H9" s="21"/>
      <c r="I9" s="21"/>
    </row>
    <row r="10" spans="1:15" ht="15" customHeight="1" x14ac:dyDescent="0.15">
      <c r="G10" s="21"/>
      <c r="H10" s="21"/>
      <c r="I10" s="21"/>
    </row>
    <row r="11" spans="1:15" ht="15" customHeight="1" x14ac:dyDescent="0.15">
      <c r="G11" s="21"/>
      <c r="H11" s="21"/>
      <c r="I11" s="21"/>
    </row>
    <row r="12" spans="1:15" ht="15" customHeight="1" x14ac:dyDescent="0.15">
      <c r="G12" s="21"/>
      <c r="H12" s="21"/>
      <c r="I12" s="21"/>
    </row>
    <row r="13" spans="1:15" ht="15" customHeight="1" x14ac:dyDescent="0.15">
      <c r="G13" s="21"/>
      <c r="H13" s="21"/>
      <c r="I13" s="21"/>
    </row>
    <row r="14" spans="1:15" ht="15" customHeight="1" x14ac:dyDescent="0.15">
      <c r="G14" s="21"/>
      <c r="H14" s="21"/>
      <c r="I14" s="21"/>
    </row>
    <row r="15" spans="1:15" ht="15" customHeight="1" x14ac:dyDescent="0.15">
      <c r="G15" s="21"/>
      <c r="H15" s="21"/>
      <c r="I15" s="21"/>
    </row>
    <row r="16" spans="1:15" ht="15" customHeight="1" x14ac:dyDescent="0.15">
      <c r="G16" s="21"/>
      <c r="H16" s="21"/>
      <c r="I16" s="21"/>
    </row>
    <row r="17" spans="7:9" ht="15" customHeight="1" x14ac:dyDescent="0.15">
      <c r="G17" s="21"/>
      <c r="H17" s="21"/>
      <c r="I17" s="21"/>
    </row>
    <row r="18" spans="7:9" ht="15" customHeight="1" x14ac:dyDescent="0.15">
      <c r="G18" s="21"/>
      <c r="H18" s="21"/>
      <c r="I18" s="21"/>
    </row>
    <row r="19" spans="7:9" ht="15" customHeight="1" x14ac:dyDescent="0.15">
      <c r="G19" s="21"/>
      <c r="H19" s="21"/>
      <c r="I19" s="21"/>
    </row>
    <row r="20" spans="7:9" ht="15" customHeight="1" x14ac:dyDescent="0.15">
      <c r="G20" s="21"/>
      <c r="H20" s="21"/>
      <c r="I20" s="21"/>
    </row>
    <row r="21" spans="7:9" ht="15" customHeight="1" x14ac:dyDescent="0.15">
      <c r="G21" s="21"/>
      <c r="H21" s="21"/>
      <c r="I21" s="21"/>
    </row>
    <row r="22" spans="7:9" ht="15" customHeight="1" x14ac:dyDescent="0.15">
      <c r="G22" s="21"/>
      <c r="H22" s="21"/>
      <c r="I22" s="21"/>
    </row>
    <row r="23" spans="7:9" ht="15" customHeight="1" x14ac:dyDescent="0.15">
      <c r="G23" s="21"/>
      <c r="H23" s="21"/>
      <c r="I23" s="21"/>
    </row>
    <row r="24" spans="7:9" ht="15" customHeight="1" x14ac:dyDescent="0.15">
      <c r="G24" s="21"/>
      <c r="H24" s="21"/>
      <c r="I24" s="21"/>
    </row>
  </sheetData>
  <mergeCells count="2">
    <mergeCell ref="G3:I3"/>
    <mergeCell ref="A1:K1"/>
  </mergeCells>
  <conditionalFormatting sqref="A5:K104">
    <cfRule type="expression" dxfId="4" priority="1">
      <formula>AND(COUNTA($A5:$O5)&gt;0,ISBLANK(A5))</formula>
    </cfRule>
  </conditionalFormatting>
  <dataValidations count="5">
    <dataValidation type="list" showInputMessage="1" prompt="Max. 5 Zeichen." sqref="A5:A104" xr:uid="{05E5C557-3235-8E47-A55B-BB11FF790419}">
      <formula1>WS18ExpertCodes</formula1>
    </dataValidation>
    <dataValidation type="list" showErrorMessage="1" sqref="C5:C100" xr:uid="{B60C379D-0DEC-1546-B64D-716BFF1D4F85}">
      <formula1>BuildingUsageTypeSelection</formula1>
    </dataValidation>
    <dataValidation type="list" showErrorMessage="1" sqref="N5:N104" xr:uid="{39620353-7C94-CE46-8673-4B93EFD604F9}">
      <formula1>CalculationBase_OnlyLump</formula1>
    </dataValidation>
    <dataValidation type="list" showErrorMessage="1" sqref="K5:K104" xr:uid="{030454F8-3418-8E4E-B972-6A71F33135D0}">
      <formula1>OtherConsumerType</formula1>
    </dataValidation>
    <dataValidation type="textLength" operator="lessThanOrEqual" allowBlank="1" showInputMessage="1" showErrorMessage="1" prompt="Max. 250 Zeichen." sqref="B5:B105" xr:uid="{057BDC04-084A-5145-B27B-3CAC8B061079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B3F8-DF65-EF4A-A24D-14952AAC9A24}">
  <sheetPr codeName="Sheet17"/>
  <dimension ref="A1:M24"/>
  <sheetViews>
    <sheetView zoomScaleNormal="100" workbookViewId="0"/>
  </sheetViews>
  <sheetFormatPr baseColWidth="10" defaultColWidth="9.1640625" defaultRowHeight="15" customHeight="1" x14ac:dyDescent="0.15"/>
  <cols>
    <col min="1" max="2" width="28.83203125" style="1" customWidth="1"/>
    <col min="3" max="3" width="21.5" style="1" customWidth="1"/>
    <col min="4" max="4" width="19.1640625" style="1" customWidth="1"/>
    <col min="5" max="7" width="9.6640625" style="1" customWidth="1"/>
    <col min="8" max="8" width="28.5" style="1" customWidth="1"/>
    <col min="9" max="9" width="24.5" style="1" customWidth="1"/>
    <col min="10" max="16384" width="9.1640625" style="1"/>
  </cols>
  <sheetData>
    <row r="1" spans="1:13" ht="15" customHeight="1" x14ac:dyDescent="0.15">
      <c r="A1" s="201" t="s">
        <v>63</v>
      </c>
      <c r="B1" s="202"/>
      <c r="C1" s="202"/>
      <c r="D1" s="202"/>
      <c r="E1" s="202"/>
      <c r="F1" s="202"/>
      <c r="G1" s="202"/>
      <c r="H1" s="202"/>
      <c r="I1" s="202"/>
    </row>
    <row r="2" spans="1:13" ht="15" customHeight="1" x14ac:dyDescent="0.15">
      <c r="C2" s="26"/>
      <c r="D2" s="26"/>
      <c r="E2" s="26"/>
      <c r="F2" s="26"/>
      <c r="G2" s="26"/>
    </row>
    <row r="3" spans="1:13" ht="15" customHeight="1" x14ac:dyDescent="0.15">
      <c r="A3" s="26"/>
      <c r="B3" s="26"/>
      <c r="C3" s="26"/>
      <c r="D3" s="26"/>
      <c r="E3" s="199" t="s">
        <v>67</v>
      </c>
      <c r="F3" s="200"/>
      <c r="G3" s="200"/>
    </row>
    <row r="4" spans="1:13" s="26" customFormat="1" ht="25" customHeight="1" x14ac:dyDescent="0.15">
      <c r="A4" s="101" t="s">
        <v>27</v>
      </c>
      <c r="B4" s="101" t="s">
        <v>161</v>
      </c>
      <c r="C4" s="101" t="s">
        <v>21</v>
      </c>
      <c r="D4" s="101" t="s">
        <v>167</v>
      </c>
      <c r="E4" s="101" t="s">
        <v>68</v>
      </c>
      <c r="F4" s="101" t="s">
        <v>69</v>
      </c>
      <c r="G4" s="101" t="s">
        <v>70</v>
      </c>
      <c r="H4" s="101" t="s">
        <v>188</v>
      </c>
      <c r="I4" s="101" t="s">
        <v>189</v>
      </c>
    </row>
    <row r="5" spans="1:13" ht="15" customHeight="1" x14ac:dyDescent="0.15">
      <c r="D5" s="19"/>
      <c r="E5" s="21"/>
      <c r="F5" s="21"/>
      <c r="G5" s="21"/>
    </row>
    <row r="6" spans="1:13" ht="15" customHeight="1" x14ac:dyDescent="0.15">
      <c r="D6" s="19"/>
      <c r="E6" s="21"/>
      <c r="F6" s="21"/>
      <c r="G6" s="21"/>
    </row>
    <row r="7" spans="1:13" ht="15" customHeight="1" x14ac:dyDescent="0.2">
      <c r="D7" s="19"/>
      <c r="E7" s="21"/>
      <c r="F7" s="21"/>
      <c r="G7" s="21"/>
      <c r="M7"/>
    </row>
    <row r="8" spans="1:13" ht="15" customHeight="1" x14ac:dyDescent="0.15">
      <c r="D8" s="19"/>
      <c r="E8" s="21"/>
      <c r="F8" s="21"/>
      <c r="G8" s="21"/>
    </row>
    <row r="9" spans="1:13" ht="15" customHeight="1" x14ac:dyDescent="0.15">
      <c r="D9" s="19"/>
      <c r="E9" s="21"/>
      <c r="F9" s="21"/>
      <c r="G9" s="21"/>
    </row>
    <row r="10" spans="1:13" ht="15" customHeight="1" x14ac:dyDescent="0.15">
      <c r="D10" s="19"/>
      <c r="E10" s="21"/>
      <c r="F10" s="21"/>
      <c r="G10" s="21"/>
    </row>
    <row r="11" spans="1:13" ht="15" customHeight="1" x14ac:dyDescent="0.15">
      <c r="D11" s="19"/>
      <c r="E11" s="21"/>
      <c r="F11" s="21"/>
      <c r="G11" s="21"/>
    </row>
    <row r="12" spans="1:13" ht="15" customHeight="1" x14ac:dyDescent="0.15">
      <c r="D12" s="19"/>
      <c r="E12" s="21"/>
      <c r="F12" s="21"/>
      <c r="G12" s="21"/>
    </row>
    <row r="13" spans="1:13" ht="15" customHeight="1" x14ac:dyDescent="0.15">
      <c r="D13" s="19"/>
      <c r="E13" s="21"/>
      <c r="F13" s="21"/>
      <c r="G13" s="21"/>
    </row>
    <row r="14" spans="1:13" ht="15" customHeight="1" x14ac:dyDescent="0.15">
      <c r="D14" s="19"/>
      <c r="E14" s="21"/>
      <c r="F14" s="21"/>
      <c r="G14" s="21"/>
    </row>
    <row r="15" spans="1:13" ht="15" customHeight="1" x14ac:dyDescent="0.15">
      <c r="D15" s="19"/>
      <c r="E15" s="21"/>
      <c r="F15" s="21"/>
      <c r="G15" s="21"/>
    </row>
    <row r="16" spans="1:13" ht="15" customHeight="1" x14ac:dyDescent="0.15">
      <c r="D16" s="19"/>
      <c r="E16" s="21"/>
      <c r="F16" s="21"/>
      <c r="G16" s="21"/>
    </row>
    <row r="17" spans="4:7" ht="15" customHeight="1" x14ac:dyDescent="0.15">
      <c r="D17" s="19"/>
      <c r="E17" s="21"/>
      <c r="F17" s="21"/>
      <c r="G17" s="21"/>
    </row>
    <row r="18" spans="4:7" ht="15" customHeight="1" x14ac:dyDescent="0.15">
      <c r="D18" s="19"/>
      <c r="E18" s="21"/>
      <c r="F18" s="21"/>
      <c r="G18" s="21"/>
    </row>
    <row r="19" spans="4:7" ht="15" customHeight="1" x14ac:dyDescent="0.15">
      <c r="D19" s="19"/>
      <c r="E19" s="21"/>
      <c r="F19" s="21"/>
      <c r="G19" s="21"/>
    </row>
    <row r="20" spans="4:7" ht="15" customHeight="1" x14ac:dyDescent="0.15">
      <c r="D20" s="19"/>
      <c r="E20" s="21"/>
      <c r="F20" s="21"/>
      <c r="G20" s="21"/>
    </row>
    <row r="21" spans="4:7" ht="15" customHeight="1" x14ac:dyDescent="0.15">
      <c r="D21" s="19"/>
      <c r="E21" s="21"/>
      <c r="F21" s="21"/>
      <c r="G21" s="21"/>
    </row>
    <row r="22" spans="4:7" ht="15" customHeight="1" x14ac:dyDescent="0.15">
      <c r="D22" s="19"/>
      <c r="E22" s="21"/>
      <c r="F22" s="21"/>
      <c r="G22" s="21"/>
    </row>
    <row r="23" spans="4:7" ht="15" customHeight="1" x14ac:dyDescent="0.15">
      <c r="D23" s="19"/>
      <c r="E23" s="21"/>
      <c r="F23" s="21"/>
      <c r="G23" s="21"/>
    </row>
    <row r="24" spans="4:7" ht="15" customHeight="1" x14ac:dyDescent="0.15">
      <c r="D24" s="19"/>
      <c r="E24" s="21"/>
      <c r="F24" s="21"/>
      <c r="G24" s="21"/>
    </row>
  </sheetData>
  <mergeCells count="2">
    <mergeCell ref="E3:G3"/>
    <mergeCell ref="A1:I1"/>
  </mergeCells>
  <conditionalFormatting sqref="A5:H104">
    <cfRule type="expression" dxfId="3" priority="1">
      <formula>AND(COUNTA($A5:$I5)&gt;0,ISBLANK(A5))</formula>
    </cfRule>
  </conditionalFormatting>
  <dataValidations count="3">
    <dataValidation type="list" showErrorMessage="1" sqref="B5:B100" xr:uid="{30E457C9-3268-7148-A506-566055BB2ACF}">
      <formula1>BuildingUsageTypeSelection</formula1>
    </dataValidation>
    <dataValidation type="list" showErrorMessage="1" sqref="C5:C104" xr:uid="{BE14D935-A498-9F41-90B4-84CEAB3BF897}">
      <formula1>ConsumerMeterType</formula1>
    </dataValidation>
    <dataValidation type="textLength" operator="lessThanOrEqual" allowBlank="1" showInputMessage="1" showErrorMessage="1" prompt="Max. 250 Zeichen." sqref="A5:A105" xr:uid="{2FBDDC40-F399-0949-9ED9-09AB9A635B3B}">
      <formula1>250</formula1>
    </dataValidation>
  </dataValidations>
  <pageMargins left="0.7" right="0.7" top="0.75" bottom="0.75" header="0.3" footer="0.3"/>
  <pageSetup paperSize="9" orientation="portrait"/>
</worksheet>
</file>

<file path=xl/worksheets/sheet2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4702-B38A-F04D-9AED-1F70F5C5AB06}">
  <dimension ref="A1:V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3" width="29.5" style="2" customWidth="1"/>
    <col min="4" max="4" width="32.6640625" style="1" customWidth="1"/>
    <col min="5" max="7" width="9.6640625" style="1" customWidth="1"/>
    <col min="8" max="8" width="14.6640625" style="1" customWidth="1"/>
    <col min="9" max="9" width="11.5" style="1" customWidth="1"/>
    <col min="10" max="10" width="15.5" style="1" customWidth="1"/>
    <col min="11" max="11" width="20.1640625" style="1" customWidth="1"/>
    <col min="12" max="12" width="17.1640625" style="1" customWidth="1"/>
    <col min="13" max="13" width="23" style="1" customWidth="1"/>
    <col min="14" max="14" width="17.5" style="1" customWidth="1"/>
    <col min="15" max="15" width="18" style="1" customWidth="1"/>
    <col min="16" max="16" width="17.33203125" style="1" customWidth="1"/>
    <col min="17" max="19" width="16.6640625" style="1" customWidth="1"/>
    <col min="20" max="20" width="12.5" style="1" customWidth="1"/>
    <col min="21" max="21" width="21.33203125" style="1" customWidth="1"/>
    <col min="22" max="22" width="17.33203125" style="1" customWidth="1"/>
    <col min="23" max="16384" width="9.1640625" style="1"/>
  </cols>
  <sheetData>
    <row r="1" spans="1:22" s="130" customFormat="1" ht="15" customHeight="1" thickBot="1" x14ac:dyDescent="0.2">
      <c r="A1" s="129" t="s">
        <v>147</v>
      </c>
    </row>
    <row r="2" spans="1:22" ht="15" customHeight="1" x14ac:dyDescent="0.15">
      <c r="H2" s="3"/>
      <c r="I2" s="19"/>
      <c r="J2" s="19"/>
      <c r="K2" s="3"/>
    </row>
    <row r="3" spans="1:22" ht="15" customHeight="1" x14ac:dyDescent="0.15">
      <c r="A3" s="132" t="s">
        <v>193</v>
      </c>
      <c r="B3" s="147"/>
      <c r="C3" s="203"/>
      <c r="D3" s="204"/>
      <c r="E3" s="44"/>
      <c r="F3" s="44"/>
      <c r="G3" s="44"/>
      <c r="H3" s="44"/>
      <c r="I3" s="44"/>
    </row>
    <row r="4" spans="1:22" ht="62.25" customHeight="1" x14ac:dyDescent="0.15">
      <c r="A4" s="145" t="s">
        <v>18</v>
      </c>
      <c r="B4" s="146"/>
      <c r="C4" s="203"/>
      <c r="D4" s="204"/>
      <c r="E4" s="44"/>
      <c r="F4" s="44"/>
      <c r="G4" s="44"/>
      <c r="H4" s="44"/>
      <c r="I4" s="44"/>
    </row>
    <row r="5" spans="1:22" ht="62.25" customHeight="1" x14ac:dyDescent="0.15">
      <c r="A5" s="145" t="s">
        <v>91</v>
      </c>
      <c r="B5" s="146"/>
      <c r="C5" s="203"/>
      <c r="D5" s="204"/>
      <c r="E5" s="44"/>
      <c r="F5" s="44"/>
      <c r="G5" s="44"/>
      <c r="H5" s="44"/>
      <c r="I5" s="44"/>
    </row>
    <row r="6" spans="1:22" ht="26.25" customHeight="1" x14ac:dyDescent="0.15">
      <c r="H6" s="3"/>
      <c r="I6" s="19"/>
      <c r="J6" s="19"/>
      <c r="K6" s="3"/>
    </row>
    <row r="7" spans="1:22" ht="15" customHeight="1" x14ac:dyDescent="0.15">
      <c r="E7" s="185" t="s">
        <v>67</v>
      </c>
      <c r="F7" s="181"/>
      <c r="G7" s="182"/>
      <c r="H7" s="3"/>
      <c r="I7" s="19"/>
      <c r="K7" s="199" t="s">
        <v>157</v>
      </c>
      <c r="L7" s="200"/>
      <c r="M7" s="200"/>
      <c r="N7" s="70"/>
    </row>
    <row r="8" spans="1:22" ht="34.5" customHeight="1" x14ac:dyDescent="0.15">
      <c r="A8" s="95" t="s">
        <v>16</v>
      </c>
      <c r="B8" s="100" t="s">
        <v>27</v>
      </c>
      <c r="C8" s="100" t="s">
        <v>161</v>
      </c>
      <c r="D8" s="100" t="s">
        <v>156</v>
      </c>
      <c r="E8" s="101" t="s">
        <v>68</v>
      </c>
      <c r="F8" s="101" t="s">
        <v>69</v>
      </c>
      <c r="G8" s="101" t="s">
        <v>70</v>
      </c>
      <c r="H8" s="96" t="s">
        <v>199</v>
      </c>
      <c r="I8" s="100" t="s">
        <v>201</v>
      </c>
      <c r="J8" s="100" t="s">
        <v>119</v>
      </c>
      <c r="K8" s="100" t="s">
        <v>148</v>
      </c>
      <c r="L8" s="100" t="s">
        <v>155</v>
      </c>
      <c r="M8" s="100" t="s">
        <v>149</v>
      </c>
      <c r="N8" s="100" t="s">
        <v>150</v>
      </c>
      <c r="O8" s="100" t="s">
        <v>151</v>
      </c>
      <c r="P8" s="100" t="s">
        <v>152</v>
      </c>
      <c r="Q8" s="100" t="s">
        <v>153</v>
      </c>
      <c r="R8" s="100" t="s">
        <v>154</v>
      </c>
      <c r="S8" s="95" t="s">
        <v>204</v>
      </c>
      <c r="T8" s="95" t="s">
        <v>205</v>
      </c>
      <c r="U8" s="95" t="s">
        <v>196</v>
      </c>
      <c r="V8" s="95" t="s">
        <v>197</v>
      </c>
    </row>
    <row r="9" spans="1:22" ht="15" customHeight="1" x14ac:dyDescent="0.15">
      <c r="E9" s="45"/>
      <c r="F9" s="45"/>
      <c r="G9" s="45"/>
      <c r="H9" s="69"/>
      <c r="L9" s="3"/>
      <c r="N9" s="19"/>
      <c r="O9" s="19"/>
      <c r="P9" s="19"/>
      <c r="Q9" s="19"/>
      <c r="R9" s="19"/>
    </row>
    <row r="10" spans="1:22" ht="15" customHeight="1" x14ac:dyDescent="0.15">
      <c r="E10" s="45"/>
      <c r="F10" s="45"/>
      <c r="G10" s="45"/>
      <c r="H10" s="69"/>
      <c r="I10" s="4"/>
      <c r="J10" s="19"/>
      <c r="K10" s="19"/>
      <c r="L10" s="3"/>
    </row>
    <row r="11" spans="1:22" ht="15" customHeight="1" x14ac:dyDescent="0.15">
      <c r="E11" s="45"/>
      <c r="F11" s="45"/>
      <c r="G11" s="45"/>
      <c r="H11" s="69"/>
      <c r="I11" s="4"/>
      <c r="J11" s="19"/>
      <c r="K11" s="19"/>
      <c r="L11" s="3"/>
    </row>
    <row r="12" spans="1:22" ht="15" customHeight="1" x14ac:dyDescent="0.15">
      <c r="E12" s="45"/>
      <c r="F12" s="45"/>
      <c r="G12" s="45"/>
      <c r="H12" s="69"/>
      <c r="I12" s="4"/>
      <c r="J12" s="19"/>
      <c r="K12" s="19"/>
      <c r="L12" s="3"/>
    </row>
    <row r="13" spans="1:22" ht="15" customHeight="1" x14ac:dyDescent="0.15">
      <c r="E13" s="45"/>
      <c r="F13" s="45"/>
      <c r="G13" s="45"/>
      <c r="H13" s="69"/>
      <c r="I13" s="4"/>
      <c r="J13" s="19"/>
      <c r="K13" s="19"/>
      <c r="L13" s="3"/>
    </row>
    <row r="14" spans="1:22" ht="15" customHeight="1" x14ac:dyDescent="0.15">
      <c r="E14" s="45"/>
      <c r="F14" s="45"/>
      <c r="G14" s="45"/>
      <c r="H14" s="69"/>
      <c r="I14" s="4"/>
      <c r="J14" s="19"/>
      <c r="K14" s="19"/>
      <c r="L14" s="3"/>
    </row>
    <row r="15" spans="1:22" ht="15" customHeight="1" x14ac:dyDescent="0.15">
      <c r="E15" s="45"/>
      <c r="F15" s="45"/>
      <c r="G15" s="45"/>
      <c r="H15" s="69"/>
      <c r="I15" s="4"/>
      <c r="J15" s="19"/>
      <c r="K15" s="19"/>
      <c r="L15" s="3"/>
    </row>
    <row r="16" spans="1:22" ht="15" customHeight="1" x14ac:dyDescent="0.15">
      <c r="E16" s="45"/>
      <c r="F16" s="45"/>
      <c r="G16" s="45"/>
      <c r="H16" s="69"/>
      <c r="I16" s="4"/>
      <c r="J16" s="19"/>
      <c r="K16" s="19"/>
      <c r="L16" s="3"/>
    </row>
    <row r="17" spans="5:12" ht="15" customHeight="1" x14ac:dyDescent="0.15">
      <c r="E17" s="45"/>
      <c r="F17" s="45"/>
      <c r="G17" s="45"/>
      <c r="H17" s="69"/>
      <c r="I17" s="4"/>
      <c r="J17" s="19"/>
      <c r="K17" s="19"/>
      <c r="L17" s="3"/>
    </row>
    <row r="18" spans="5:12" ht="15" customHeight="1" x14ac:dyDescent="0.15">
      <c r="E18" s="45"/>
      <c r="F18" s="45"/>
      <c r="G18" s="45"/>
      <c r="H18" s="69"/>
      <c r="I18" s="4"/>
      <c r="J18" s="19"/>
      <c r="K18" s="19"/>
      <c r="L18" s="3"/>
    </row>
    <row r="19" spans="5:12" ht="15" customHeight="1" x14ac:dyDescent="0.15">
      <c r="E19" s="45"/>
      <c r="F19" s="45"/>
      <c r="G19" s="45"/>
      <c r="H19" s="69"/>
      <c r="I19" s="4"/>
      <c r="J19" s="19"/>
      <c r="K19" s="19"/>
      <c r="L19" s="3"/>
    </row>
    <row r="20" spans="5:12" ht="15" customHeight="1" x14ac:dyDescent="0.15">
      <c r="E20" s="45"/>
      <c r="F20" s="45"/>
      <c r="G20" s="45"/>
      <c r="H20" s="69"/>
      <c r="I20" s="4"/>
      <c r="J20" s="19"/>
      <c r="K20" s="19"/>
      <c r="L20" s="3"/>
    </row>
    <row r="21" spans="5:12" ht="15" customHeight="1" x14ac:dyDescent="0.15">
      <c r="E21" s="45"/>
      <c r="F21" s="45"/>
      <c r="G21" s="45"/>
      <c r="H21" s="69"/>
      <c r="I21" s="4"/>
      <c r="J21" s="19"/>
      <c r="K21" s="19"/>
      <c r="L21" s="3"/>
    </row>
    <row r="22" spans="5:12" ht="15" customHeight="1" x14ac:dyDescent="0.15">
      <c r="E22" s="45"/>
      <c r="F22" s="45"/>
      <c r="G22" s="45"/>
      <c r="H22" s="69"/>
      <c r="I22" s="4"/>
      <c r="J22" s="19"/>
      <c r="K22" s="19"/>
      <c r="L22" s="3"/>
    </row>
    <row r="23" spans="5:12" ht="15" customHeight="1" x14ac:dyDescent="0.15">
      <c r="E23" s="45"/>
      <c r="F23" s="45"/>
      <c r="G23" s="45"/>
      <c r="H23" s="69"/>
      <c r="I23" s="4"/>
      <c r="J23" s="19"/>
      <c r="K23" s="19"/>
      <c r="L23" s="3"/>
    </row>
    <row r="24" spans="5:12" ht="15" customHeight="1" x14ac:dyDescent="0.15">
      <c r="E24" s="45"/>
      <c r="F24" s="45"/>
      <c r="G24" s="45"/>
      <c r="H24" s="69"/>
      <c r="I24" s="4"/>
      <c r="J24" s="19"/>
      <c r="K24" s="19"/>
      <c r="L24" s="3"/>
    </row>
  </sheetData>
  <mergeCells count="9">
    <mergeCell ref="A1:XFD1"/>
    <mergeCell ref="K7:M7"/>
    <mergeCell ref="A3:B3"/>
    <mergeCell ref="A4:B4"/>
    <mergeCell ref="E7:G7"/>
    <mergeCell ref="A5:B5"/>
    <mergeCell ref="C4:D4"/>
    <mergeCell ref="C3:D3"/>
    <mergeCell ref="C5:D5"/>
  </mergeCells>
  <conditionalFormatting sqref="A9:G13 I9:R13">
    <cfRule type="expression" dxfId="2" priority="1">
      <formula>AND(COUNTA($A9:$V9)&gt;0,ISBLANK(A9))</formula>
    </cfRule>
  </conditionalFormatting>
  <dataValidations count="9">
    <dataValidation type="list" allowBlank="1" showErrorMessage="1" sqref="C3" xr:uid="{C2178648-10FD-E047-BD6D-40846A5EBE68}">
      <formula1>Prioritization</formula1>
    </dataValidation>
    <dataValidation type="textLength" operator="lessThanOrEqual" allowBlank="1" showInputMessage="1" showErrorMessage="1" prompt="Max. 1000 Zeichen." sqref="C4:C5" xr:uid="{6A020C0C-CA4B-9F4A-982A-5596D62B9C30}">
      <formula1>1000</formula1>
    </dataValidation>
    <dataValidation type="list" showInputMessage="1" prompt="Max. 5 Zeichen." sqref="A9:A108" xr:uid="{03BB16E8-B0B1-0A44-A01E-AA02F9109EB8}">
      <formula1>WS20ExpertCodes</formula1>
    </dataValidation>
    <dataValidation type="list" showErrorMessage="1" sqref="C9:C100" xr:uid="{B73F7D71-5B3C-2244-ADCB-13637B2772A3}">
      <formula1>BuildingUsageTypeSelection</formula1>
    </dataValidation>
    <dataValidation type="list" showErrorMessage="1" sqref="D9:D108" xr:uid="{5D4891A0-9B02-5B47-AC54-C235641B6ABA}">
      <formula1>StandardVentilationType</formula1>
    </dataValidation>
    <dataValidation type="list" allowBlank="1" showErrorMessage="1" sqref="L9:L108" xr:uid="{205D2965-0997-A740-B2C9-E008A38AB35E}">
      <formula1>HeatExchangerType</formula1>
    </dataValidation>
    <dataValidation type="list" allowBlank="1" showErrorMessage="1" sqref="M9:M108" xr:uid="{0B4D0851-4517-A141-B095-A6BEBCEBE5EC}">
      <formula1>FanType</formula1>
    </dataValidation>
    <dataValidation type="list" allowBlank="1" showErrorMessage="1" sqref="U9:U108" xr:uid="{4C6F97AC-FBCE-2F49-ABC8-4A94F26BBA48}">
      <formula1>CalculationBase_OnlyLump</formula1>
    </dataValidation>
    <dataValidation type="textLength" operator="lessThanOrEqual" allowBlank="1" showInputMessage="1" showErrorMessage="1" prompt="Max. 250 Zeichen." sqref="B9:B109" xr:uid="{F4955420-A615-F144-A33F-D2DC40DB433D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13C6-F954-9844-9D9C-16AA2AAEB4B9}">
  <sheetPr codeName="Sheet18"/>
  <dimension ref="A1:CC43"/>
  <sheetViews>
    <sheetView zoomScaleNormal="100" workbookViewId="0"/>
  </sheetViews>
  <sheetFormatPr baseColWidth="10" defaultRowHeight="15" x14ac:dyDescent="0.2"/>
  <cols>
    <col min="1" max="256" width="8.83203125" customWidth="1"/>
  </cols>
  <sheetData>
    <row r="1" spans="1:81" ht="16" x14ac:dyDescent="0.2">
      <c r="A1" s="81" t="s">
        <v>209</v>
      </c>
      <c r="B1" s="80" t="s">
        <v>210</v>
      </c>
      <c r="C1" s="81" t="s">
        <v>211</v>
      </c>
      <c r="D1">
        <v>5</v>
      </c>
    </row>
    <row r="3" spans="1:81" x14ac:dyDescent="0.2">
      <c r="A3" t="s">
        <v>212</v>
      </c>
      <c r="B3" t="s">
        <v>218</v>
      </c>
      <c r="C3" t="s">
        <v>219</v>
      </c>
      <c r="D3" t="s">
        <v>225</v>
      </c>
      <c r="E3" t="s">
        <v>228</v>
      </c>
      <c r="F3" t="s">
        <v>234</v>
      </c>
      <c r="G3" t="s">
        <v>238</v>
      </c>
      <c r="H3" t="s">
        <v>240</v>
      </c>
      <c r="I3" t="s">
        <v>251</v>
      </c>
      <c r="J3" t="s">
        <v>256</v>
      </c>
      <c r="K3" t="s">
        <v>259</v>
      </c>
      <c r="L3" t="s">
        <v>292</v>
      </c>
      <c r="M3" t="s">
        <v>302</v>
      </c>
      <c r="N3" t="s">
        <v>307</v>
      </c>
      <c r="O3" t="s">
        <v>314</v>
      </c>
      <c r="P3" t="s">
        <v>322</v>
      </c>
      <c r="Q3" t="s">
        <v>329</v>
      </c>
      <c r="R3" t="s">
        <v>336</v>
      </c>
      <c r="S3" t="s">
        <v>338</v>
      </c>
      <c r="T3" t="s">
        <v>343</v>
      </c>
      <c r="U3" t="s">
        <v>352</v>
      </c>
      <c r="V3" t="s">
        <v>373</v>
      </c>
      <c r="W3" t="s">
        <v>381</v>
      </c>
      <c r="X3" t="s">
        <v>390</v>
      </c>
      <c r="Y3" t="s">
        <v>393</v>
      </c>
      <c r="Z3" t="s">
        <v>146</v>
      </c>
      <c r="AA3" t="s">
        <v>419</v>
      </c>
      <c r="AB3" t="s">
        <v>427</v>
      </c>
      <c r="AC3" t="s">
        <v>430</v>
      </c>
      <c r="AD3" t="s">
        <v>451</v>
      </c>
      <c r="AE3" t="s">
        <v>457</v>
      </c>
      <c r="AF3" t="s">
        <v>110</v>
      </c>
      <c r="AG3" t="s">
        <v>98</v>
      </c>
      <c r="AH3" t="s">
        <v>476</v>
      </c>
      <c r="AI3" t="s">
        <v>482</v>
      </c>
      <c r="AJ3" t="s">
        <v>503</v>
      </c>
      <c r="AK3" t="s">
        <v>185</v>
      </c>
      <c r="AL3" t="s">
        <v>526</v>
      </c>
      <c r="AM3" t="s">
        <v>536</v>
      </c>
      <c r="AN3" t="s">
        <v>541</v>
      </c>
      <c r="AO3" t="s">
        <v>545</v>
      </c>
      <c r="AP3" t="s">
        <v>100</v>
      </c>
      <c r="AQ3" t="s">
        <v>546</v>
      </c>
      <c r="AR3" t="s">
        <v>563</v>
      </c>
      <c r="AS3" t="s">
        <v>569</v>
      </c>
      <c r="AT3" t="s">
        <v>598</v>
      </c>
      <c r="AU3" t="s">
        <v>603</v>
      </c>
      <c r="AV3" t="s">
        <v>606</v>
      </c>
      <c r="AW3" t="s">
        <v>610</v>
      </c>
      <c r="AX3" t="s">
        <v>35</v>
      </c>
      <c r="AY3" t="s">
        <v>623</v>
      </c>
      <c r="AZ3" t="s">
        <v>627</v>
      </c>
      <c r="BA3" t="s">
        <v>629</v>
      </c>
      <c r="BB3" t="s">
        <v>633</v>
      </c>
      <c r="BC3" t="s">
        <v>644</v>
      </c>
      <c r="BD3" t="s">
        <v>647</v>
      </c>
      <c r="BE3" t="s">
        <v>649</v>
      </c>
      <c r="BF3" t="s">
        <v>650</v>
      </c>
      <c r="BG3" t="s">
        <v>654</v>
      </c>
      <c r="BH3" t="s">
        <v>663</v>
      </c>
      <c r="BI3" t="s">
        <v>665</v>
      </c>
      <c r="BJ3" t="s">
        <v>676</v>
      </c>
      <c r="BK3" t="s">
        <v>198</v>
      </c>
      <c r="BL3" t="s">
        <v>33</v>
      </c>
      <c r="BM3" t="s">
        <v>702</v>
      </c>
      <c r="BN3" t="s">
        <v>713</v>
      </c>
      <c r="BO3" t="s">
        <v>715</v>
      </c>
      <c r="BP3" t="s">
        <v>719</v>
      </c>
      <c r="BQ3" t="s">
        <v>730</v>
      </c>
      <c r="BR3" t="s">
        <v>733</v>
      </c>
      <c r="BS3" t="s">
        <v>744</v>
      </c>
      <c r="BT3" t="s">
        <v>20</v>
      </c>
      <c r="BU3" t="s">
        <v>758</v>
      </c>
      <c r="BV3" t="s">
        <v>131</v>
      </c>
      <c r="BW3" t="s">
        <v>17</v>
      </c>
      <c r="BX3" t="s">
        <v>775</v>
      </c>
      <c r="BY3" t="s">
        <v>786</v>
      </c>
      <c r="BZ3" t="s">
        <v>194</v>
      </c>
      <c r="CA3" t="s">
        <v>186</v>
      </c>
      <c r="CB3" t="s">
        <v>790</v>
      </c>
      <c r="CC3" t="s">
        <v>794</v>
      </c>
    </row>
    <row r="4" spans="1:81" x14ac:dyDescent="0.2">
      <c r="A4" t="s">
        <v>213</v>
      </c>
      <c r="B4" t="s">
        <v>213</v>
      </c>
      <c r="C4" t="s">
        <v>220</v>
      </c>
      <c r="D4" t="s">
        <v>226</v>
      </c>
      <c r="E4" t="s">
        <v>229</v>
      </c>
      <c r="F4" t="s">
        <v>235</v>
      </c>
      <c r="G4" t="s">
        <v>239</v>
      </c>
      <c r="H4" t="s">
        <v>241</v>
      </c>
      <c r="I4" t="s">
        <v>252</v>
      </c>
      <c r="J4" t="s">
        <v>257</v>
      </c>
      <c r="K4" t="s">
        <v>260</v>
      </c>
      <c r="L4" t="s">
        <v>260</v>
      </c>
      <c r="M4" t="s">
        <v>303</v>
      </c>
      <c r="N4" t="s">
        <v>250</v>
      </c>
      <c r="O4" t="s">
        <v>315</v>
      </c>
      <c r="P4" t="s">
        <v>239</v>
      </c>
      <c r="Q4" t="s">
        <v>330</v>
      </c>
      <c r="R4" t="s">
        <v>337</v>
      </c>
      <c r="S4" t="s">
        <v>339</v>
      </c>
      <c r="T4" t="s">
        <v>344</v>
      </c>
      <c r="U4" t="s">
        <v>353</v>
      </c>
      <c r="V4" t="s">
        <v>374</v>
      </c>
      <c r="W4" t="s">
        <v>382</v>
      </c>
      <c r="X4" t="s">
        <v>391</v>
      </c>
      <c r="Y4" t="s">
        <v>394</v>
      </c>
      <c r="Z4" t="s">
        <v>399</v>
      </c>
      <c r="AA4" t="s">
        <v>420</v>
      </c>
      <c r="AB4" t="s">
        <v>382</v>
      </c>
      <c r="AC4" t="s">
        <v>431</v>
      </c>
      <c r="AD4" t="s">
        <v>452</v>
      </c>
      <c r="AE4" t="s">
        <v>382</v>
      </c>
      <c r="AF4" t="s">
        <v>458</v>
      </c>
      <c r="AG4" t="s">
        <v>97</v>
      </c>
      <c r="AH4" t="s">
        <v>477</v>
      </c>
      <c r="AI4" t="s">
        <v>483</v>
      </c>
      <c r="AJ4" t="s">
        <v>504</v>
      </c>
      <c r="AK4" t="s">
        <v>516</v>
      </c>
      <c r="AL4" t="s">
        <v>527</v>
      </c>
      <c r="AM4" t="s">
        <v>537</v>
      </c>
      <c r="AN4" t="s">
        <v>542</v>
      </c>
      <c r="AO4" t="s">
        <v>391</v>
      </c>
      <c r="AP4" t="s">
        <v>176</v>
      </c>
      <c r="AQ4" t="s">
        <v>547</v>
      </c>
      <c r="AR4" t="s">
        <v>564</v>
      </c>
      <c r="AS4" t="s">
        <v>570</v>
      </c>
      <c r="AT4" t="s">
        <v>599</v>
      </c>
      <c r="AU4" t="s">
        <v>429</v>
      </c>
      <c r="AV4" t="s">
        <v>607</v>
      </c>
      <c r="AW4" t="s">
        <v>611</v>
      </c>
      <c r="AX4" t="s">
        <v>613</v>
      </c>
      <c r="AY4" t="s">
        <v>624</v>
      </c>
      <c r="AZ4" t="s">
        <v>250</v>
      </c>
      <c r="BA4" t="s">
        <v>630</v>
      </c>
      <c r="BB4" t="s">
        <v>634</v>
      </c>
      <c r="BC4" t="s">
        <v>645</v>
      </c>
      <c r="BD4" t="s">
        <v>604</v>
      </c>
      <c r="BE4" t="s">
        <v>176</v>
      </c>
      <c r="BF4" t="s">
        <v>651</v>
      </c>
      <c r="BG4" t="s">
        <v>655</v>
      </c>
      <c r="BH4" t="s">
        <v>651</v>
      </c>
      <c r="BI4" t="s">
        <v>666</v>
      </c>
      <c r="BJ4" t="s">
        <v>677</v>
      </c>
      <c r="BK4" t="s">
        <v>80</v>
      </c>
      <c r="BL4" t="s">
        <v>681</v>
      </c>
      <c r="BM4" t="s">
        <v>703</v>
      </c>
      <c r="BN4" t="s">
        <v>630</v>
      </c>
      <c r="BO4" t="s">
        <v>716</v>
      </c>
      <c r="BP4" t="s">
        <v>720</v>
      </c>
      <c r="BQ4" t="s">
        <v>731</v>
      </c>
      <c r="BR4" t="s">
        <v>734</v>
      </c>
      <c r="BS4" t="s">
        <v>745</v>
      </c>
      <c r="BT4" t="s">
        <v>748</v>
      </c>
      <c r="BU4" t="s">
        <v>759</v>
      </c>
      <c r="BV4" t="s">
        <v>132</v>
      </c>
      <c r="BW4" t="s">
        <v>772</v>
      </c>
      <c r="BX4" t="s">
        <v>776</v>
      </c>
      <c r="BY4" t="s">
        <v>787</v>
      </c>
      <c r="BZ4" t="s">
        <v>776</v>
      </c>
      <c r="CA4" t="s">
        <v>789</v>
      </c>
      <c r="CB4" t="s">
        <v>791</v>
      </c>
      <c r="CC4" t="s">
        <v>795</v>
      </c>
    </row>
    <row r="5" spans="1:81" x14ac:dyDescent="0.2">
      <c r="A5" t="s">
        <v>214</v>
      </c>
      <c r="B5" t="s">
        <v>214</v>
      </c>
      <c r="C5" t="s">
        <v>221</v>
      </c>
      <c r="D5" t="s">
        <v>227</v>
      </c>
      <c r="E5" t="s">
        <v>230</v>
      </c>
      <c r="F5" t="s">
        <v>236</v>
      </c>
      <c r="G5" t="s">
        <v>223</v>
      </c>
      <c r="H5" t="s">
        <v>242</v>
      </c>
      <c r="I5" t="s">
        <v>253</v>
      </c>
      <c r="J5" t="s">
        <v>258</v>
      </c>
      <c r="K5" t="s">
        <v>261</v>
      </c>
      <c r="L5" t="s">
        <v>293</v>
      </c>
      <c r="M5" t="s">
        <v>304</v>
      </c>
      <c r="N5" t="s">
        <v>308</v>
      </c>
      <c r="O5" t="s">
        <v>316</v>
      </c>
      <c r="P5" t="s">
        <v>323</v>
      </c>
      <c r="Q5" t="s">
        <v>331</v>
      </c>
      <c r="S5" t="s">
        <v>340</v>
      </c>
      <c r="T5" t="s">
        <v>345</v>
      </c>
      <c r="U5" t="s">
        <v>354</v>
      </c>
      <c r="V5" t="s">
        <v>375</v>
      </c>
      <c r="W5" t="s">
        <v>383</v>
      </c>
      <c r="X5" t="s">
        <v>392</v>
      </c>
      <c r="Y5" t="s">
        <v>395</v>
      </c>
      <c r="Z5" t="s">
        <v>400</v>
      </c>
      <c r="AA5" t="s">
        <v>421</v>
      </c>
      <c r="AB5" t="s">
        <v>383</v>
      </c>
      <c r="AC5" t="s">
        <v>432</v>
      </c>
      <c r="AD5" t="s">
        <v>453</v>
      </c>
      <c r="AE5" t="s">
        <v>383</v>
      </c>
      <c r="AF5" t="s">
        <v>459</v>
      </c>
      <c r="AG5" t="s">
        <v>95</v>
      </c>
      <c r="AH5" t="s">
        <v>478</v>
      </c>
      <c r="AI5" t="s">
        <v>484</v>
      </c>
      <c r="AJ5" t="s">
        <v>505</v>
      </c>
      <c r="AK5" t="s">
        <v>517</v>
      </c>
      <c r="AL5" t="s">
        <v>528</v>
      </c>
      <c r="AM5" t="s">
        <v>538</v>
      </c>
      <c r="AN5" t="s">
        <v>543</v>
      </c>
      <c r="AP5" t="s">
        <v>177</v>
      </c>
      <c r="AQ5" t="s">
        <v>548</v>
      </c>
      <c r="AR5" t="s">
        <v>565</v>
      </c>
      <c r="AS5" t="s">
        <v>571</v>
      </c>
      <c r="AT5" t="s">
        <v>600</v>
      </c>
      <c r="AU5" t="s">
        <v>604</v>
      </c>
      <c r="AV5" t="s">
        <v>608</v>
      </c>
      <c r="AW5" t="s">
        <v>612</v>
      </c>
      <c r="AX5" t="s">
        <v>614</v>
      </c>
      <c r="AY5" t="s">
        <v>625</v>
      </c>
      <c r="AZ5" t="s">
        <v>628</v>
      </c>
      <c r="BA5" t="s">
        <v>607</v>
      </c>
      <c r="BB5" t="s">
        <v>635</v>
      </c>
      <c r="BC5" t="s">
        <v>646</v>
      </c>
      <c r="BD5" t="s">
        <v>605</v>
      </c>
      <c r="BE5" t="s">
        <v>177</v>
      </c>
      <c r="BF5" t="s">
        <v>652</v>
      </c>
      <c r="BG5" t="s">
        <v>656</v>
      </c>
      <c r="BH5" t="s">
        <v>652</v>
      </c>
      <c r="BI5" t="s">
        <v>667</v>
      </c>
      <c r="BJ5" t="s">
        <v>678</v>
      </c>
      <c r="BK5" t="s">
        <v>31</v>
      </c>
      <c r="BL5" t="s">
        <v>682</v>
      </c>
      <c r="BM5" t="s">
        <v>704</v>
      </c>
      <c r="BN5" t="s">
        <v>607</v>
      </c>
      <c r="BO5" t="s">
        <v>717</v>
      </c>
      <c r="BP5" t="s">
        <v>721</v>
      </c>
      <c r="BQ5" t="s">
        <v>714</v>
      </c>
      <c r="BR5" t="s">
        <v>735</v>
      </c>
      <c r="BS5" t="s">
        <v>746</v>
      </c>
      <c r="BT5" t="s">
        <v>749</v>
      </c>
      <c r="BU5" t="s">
        <v>760</v>
      </c>
      <c r="BV5" t="s">
        <v>763</v>
      </c>
      <c r="BW5" t="s">
        <v>773</v>
      </c>
      <c r="BX5" t="s">
        <v>777</v>
      </c>
      <c r="BY5" t="s">
        <v>788</v>
      </c>
      <c r="BZ5" t="s">
        <v>777</v>
      </c>
      <c r="CB5" t="s">
        <v>792</v>
      </c>
      <c r="CC5" t="s">
        <v>796</v>
      </c>
    </row>
    <row r="6" spans="1:81" x14ac:dyDescent="0.2">
      <c r="A6" t="s">
        <v>215</v>
      </c>
      <c r="B6" t="s">
        <v>215</v>
      </c>
      <c r="C6" t="s">
        <v>222</v>
      </c>
      <c r="D6" t="s">
        <v>222</v>
      </c>
      <c r="E6" t="s">
        <v>221</v>
      </c>
      <c r="F6" t="s">
        <v>237</v>
      </c>
      <c r="G6" t="s">
        <v>227</v>
      </c>
      <c r="H6" t="s">
        <v>243</v>
      </c>
      <c r="I6" t="s">
        <v>254</v>
      </c>
      <c r="K6" t="s">
        <v>262</v>
      </c>
      <c r="L6" t="s">
        <v>261</v>
      </c>
      <c r="M6" t="s">
        <v>305</v>
      </c>
      <c r="N6" t="s">
        <v>309</v>
      </c>
      <c r="O6" t="s">
        <v>317</v>
      </c>
      <c r="P6" t="s">
        <v>324</v>
      </c>
      <c r="Q6" t="s">
        <v>332</v>
      </c>
      <c r="S6" t="s">
        <v>341</v>
      </c>
      <c r="T6" t="s">
        <v>346</v>
      </c>
      <c r="U6" t="s">
        <v>355</v>
      </c>
      <c r="V6" t="s">
        <v>376</v>
      </c>
      <c r="W6" t="s">
        <v>384</v>
      </c>
      <c r="Y6" t="s">
        <v>396</v>
      </c>
      <c r="Z6" t="s">
        <v>401</v>
      </c>
      <c r="AA6" t="s">
        <v>422</v>
      </c>
      <c r="AB6" t="s">
        <v>384</v>
      </c>
      <c r="AC6" t="s">
        <v>433</v>
      </c>
      <c r="AD6" t="s">
        <v>454</v>
      </c>
      <c r="AE6" t="s">
        <v>384</v>
      </c>
      <c r="AF6" t="s">
        <v>460</v>
      </c>
      <c r="AG6" t="s">
        <v>94</v>
      </c>
      <c r="AH6" t="s">
        <v>378</v>
      </c>
      <c r="AI6" t="s">
        <v>485</v>
      </c>
      <c r="AJ6" t="s">
        <v>506</v>
      </c>
      <c r="AK6" t="s">
        <v>518</v>
      </c>
      <c r="AL6" t="s">
        <v>529</v>
      </c>
      <c r="AM6" t="s">
        <v>539</v>
      </c>
      <c r="AN6" t="s">
        <v>544</v>
      </c>
      <c r="AP6" t="s">
        <v>178</v>
      </c>
      <c r="AQ6" t="s">
        <v>549</v>
      </c>
      <c r="AR6" t="s">
        <v>566</v>
      </c>
      <c r="AS6" t="s">
        <v>572</v>
      </c>
      <c r="AT6" t="s">
        <v>601</v>
      </c>
      <c r="AU6" t="s">
        <v>605</v>
      </c>
      <c r="AV6" t="s">
        <v>609</v>
      </c>
      <c r="AX6" t="s">
        <v>615</v>
      </c>
      <c r="AY6" t="s">
        <v>626</v>
      </c>
      <c r="BA6" t="s">
        <v>631</v>
      </c>
      <c r="BB6" t="s">
        <v>636</v>
      </c>
      <c r="BD6" t="s">
        <v>648</v>
      </c>
      <c r="BE6" t="s">
        <v>178</v>
      </c>
      <c r="BF6" t="s">
        <v>653</v>
      </c>
      <c r="BG6" t="s">
        <v>657</v>
      </c>
      <c r="BH6" t="s">
        <v>664</v>
      </c>
      <c r="BI6" t="s">
        <v>668</v>
      </c>
      <c r="BJ6" t="s">
        <v>679</v>
      </c>
      <c r="BK6" t="s">
        <v>78</v>
      </c>
      <c r="BL6" t="s">
        <v>683</v>
      </c>
      <c r="BM6" t="s">
        <v>705</v>
      </c>
      <c r="BN6" t="s">
        <v>714</v>
      </c>
      <c r="BP6" t="s">
        <v>722</v>
      </c>
      <c r="BQ6" t="s">
        <v>732</v>
      </c>
      <c r="BR6" t="s">
        <v>736</v>
      </c>
      <c r="BS6" t="s">
        <v>714</v>
      </c>
      <c r="BT6" t="s">
        <v>750</v>
      </c>
      <c r="BU6" t="s">
        <v>761</v>
      </c>
      <c r="BV6" t="s">
        <v>764</v>
      </c>
      <c r="BX6" t="s">
        <v>778</v>
      </c>
      <c r="BZ6" t="s">
        <v>778</v>
      </c>
      <c r="CB6" t="s">
        <v>793</v>
      </c>
    </row>
    <row r="7" spans="1:81" x14ac:dyDescent="0.2">
      <c r="A7" t="s">
        <v>216</v>
      </c>
      <c r="B7" t="s">
        <v>216</v>
      </c>
      <c r="C7" t="s">
        <v>223</v>
      </c>
      <c r="D7" t="s">
        <v>217</v>
      </c>
      <c r="E7" t="s">
        <v>226</v>
      </c>
      <c r="F7" t="s">
        <v>223</v>
      </c>
      <c r="G7" t="s">
        <v>222</v>
      </c>
      <c r="H7" t="s">
        <v>244</v>
      </c>
      <c r="I7" t="s">
        <v>255</v>
      </c>
      <c r="K7" t="s">
        <v>263</v>
      </c>
      <c r="L7" t="s">
        <v>262</v>
      </c>
      <c r="M7" t="s">
        <v>306</v>
      </c>
      <c r="N7" t="s">
        <v>310</v>
      </c>
      <c r="O7" t="s">
        <v>318</v>
      </c>
      <c r="P7" t="s">
        <v>325</v>
      </c>
      <c r="Q7" t="s">
        <v>333</v>
      </c>
      <c r="T7" t="s">
        <v>347</v>
      </c>
      <c r="U7" t="s">
        <v>356</v>
      </c>
      <c r="V7" t="s">
        <v>377</v>
      </c>
      <c r="W7" t="s">
        <v>385</v>
      </c>
      <c r="Y7" t="s">
        <v>397</v>
      </c>
      <c r="Z7" t="s">
        <v>402</v>
      </c>
      <c r="AA7" t="s">
        <v>423</v>
      </c>
      <c r="AB7" t="s">
        <v>385</v>
      </c>
      <c r="AC7" t="s">
        <v>434</v>
      </c>
      <c r="AD7" t="s">
        <v>455</v>
      </c>
      <c r="AE7" t="s">
        <v>385</v>
      </c>
      <c r="AG7" t="s">
        <v>93</v>
      </c>
      <c r="AH7" t="s">
        <v>379</v>
      </c>
      <c r="AI7" t="s">
        <v>486</v>
      </c>
      <c r="AJ7" t="s">
        <v>507</v>
      </c>
      <c r="AK7" t="s">
        <v>519</v>
      </c>
      <c r="AL7" t="s">
        <v>530</v>
      </c>
      <c r="AM7" t="s">
        <v>540</v>
      </c>
      <c r="AP7" t="s">
        <v>179</v>
      </c>
      <c r="AQ7" t="s">
        <v>550</v>
      </c>
      <c r="AR7" t="s">
        <v>567</v>
      </c>
      <c r="AS7" t="s">
        <v>573</v>
      </c>
      <c r="AT7" t="s">
        <v>602</v>
      </c>
      <c r="AX7" t="s">
        <v>616</v>
      </c>
      <c r="BA7" t="s">
        <v>632</v>
      </c>
      <c r="BB7" t="s">
        <v>637</v>
      </c>
      <c r="BE7" t="s">
        <v>179</v>
      </c>
      <c r="BG7" t="s">
        <v>658</v>
      </c>
      <c r="BI7" t="s">
        <v>669</v>
      </c>
      <c r="BK7" t="s">
        <v>77</v>
      </c>
      <c r="BL7" t="s">
        <v>684</v>
      </c>
      <c r="BM7" t="s">
        <v>706</v>
      </c>
      <c r="BN7" t="s">
        <v>609</v>
      </c>
      <c r="BP7" t="s">
        <v>723</v>
      </c>
      <c r="BR7" t="s">
        <v>737</v>
      </c>
      <c r="BS7" t="s">
        <v>747</v>
      </c>
      <c r="BT7" t="s">
        <v>751</v>
      </c>
      <c r="BU7" t="s">
        <v>762</v>
      </c>
      <c r="BV7" t="s">
        <v>765</v>
      </c>
      <c r="BX7" t="s">
        <v>779</v>
      </c>
      <c r="BZ7" t="s">
        <v>779</v>
      </c>
    </row>
    <row r="8" spans="1:81" x14ac:dyDescent="0.2">
      <c r="A8" t="s">
        <v>217</v>
      </c>
      <c r="B8" t="s">
        <v>217</v>
      </c>
      <c r="C8" t="s">
        <v>214</v>
      </c>
      <c r="E8" t="s">
        <v>231</v>
      </c>
      <c r="F8" t="s">
        <v>227</v>
      </c>
      <c r="G8" t="s">
        <v>232</v>
      </c>
      <c r="H8" t="s">
        <v>245</v>
      </c>
      <c r="K8" t="s">
        <v>264</v>
      </c>
      <c r="L8" t="s">
        <v>263</v>
      </c>
      <c r="N8" t="s">
        <v>311</v>
      </c>
      <c r="O8" t="s">
        <v>319</v>
      </c>
      <c r="P8" t="s">
        <v>326</v>
      </c>
      <c r="Q8" t="s">
        <v>334</v>
      </c>
      <c r="U8" t="s">
        <v>357</v>
      </c>
      <c r="V8" t="s">
        <v>378</v>
      </c>
      <c r="W8" t="s">
        <v>386</v>
      </c>
      <c r="Y8" t="s">
        <v>398</v>
      </c>
      <c r="Z8" t="s">
        <v>403</v>
      </c>
      <c r="AA8" t="s">
        <v>424</v>
      </c>
      <c r="AB8" t="s">
        <v>386</v>
      </c>
      <c r="AC8" t="s">
        <v>435</v>
      </c>
      <c r="AD8" t="s">
        <v>456</v>
      </c>
      <c r="AE8" t="s">
        <v>386</v>
      </c>
      <c r="AG8" t="s">
        <v>101</v>
      </c>
      <c r="AH8" t="s">
        <v>377</v>
      </c>
      <c r="AI8" t="s">
        <v>487</v>
      </c>
      <c r="AJ8" t="s">
        <v>508</v>
      </c>
      <c r="AK8" t="s">
        <v>520</v>
      </c>
      <c r="AL8" t="s">
        <v>531</v>
      </c>
      <c r="AP8" t="s">
        <v>180</v>
      </c>
      <c r="AQ8" t="s">
        <v>551</v>
      </c>
      <c r="AR8" t="s">
        <v>568</v>
      </c>
      <c r="AS8" t="s">
        <v>574</v>
      </c>
      <c r="AX8" t="s">
        <v>617</v>
      </c>
      <c r="BB8" t="s">
        <v>638</v>
      </c>
      <c r="BE8" t="s">
        <v>180</v>
      </c>
      <c r="BG8" t="s">
        <v>659</v>
      </c>
      <c r="BI8" t="s">
        <v>670</v>
      </c>
      <c r="BK8" t="s">
        <v>76</v>
      </c>
      <c r="BL8" t="s">
        <v>685</v>
      </c>
      <c r="BM8" t="s">
        <v>707</v>
      </c>
      <c r="BP8" t="s">
        <v>724</v>
      </c>
      <c r="BR8" t="s">
        <v>738</v>
      </c>
      <c r="BT8" t="s">
        <v>752</v>
      </c>
      <c r="BV8" t="s">
        <v>766</v>
      </c>
      <c r="BX8" t="s">
        <v>780</v>
      </c>
      <c r="BZ8" t="s">
        <v>780</v>
      </c>
    </row>
    <row r="9" spans="1:81" x14ac:dyDescent="0.2">
      <c r="C9" t="s">
        <v>224</v>
      </c>
      <c r="E9" t="s">
        <v>232</v>
      </c>
      <c r="F9" t="s">
        <v>214</v>
      </c>
      <c r="H9" t="s">
        <v>246</v>
      </c>
      <c r="K9" t="s">
        <v>265</v>
      </c>
      <c r="L9" t="s">
        <v>264</v>
      </c>
      <c r="N9" t="s">
        <v>312</v>
      </c>
      <c r="O9" t="s">
        <v>320</v>
      </c>
      <c r="P9" t="s">
        <v>327</v>
      </c>
      <c r="Q9" t="s">
        <v>335</v>
      </c>
      <c r="U9" t="s">
        <v>358</v>
      </c>
      <c r="V9" t="s">
        <v>379</v>
      </c>
      <c r="W9" t="s">
        <v>387</v>
      </c>
      <c r="Z9" t="s">
        <v>404</v>
      </c>
      <c r="AA9" t="s">
        <v>425</v>
      </c>
      <c r="AB9" t="s">
        <v>387</v>
      </c>
      <c r="AC9" t="s">
        <v>436</v>
      </c>
      <c r="AE9" t="s">
        <v>387</v>
      </c>
      <c r="AG9" t="s">
        <v>461</v>
      </c>
      <c r="AH9" t="s">
        <v>479</v>
      </c>
      <c r="AI9" t="s">
        <v>488</v>
      </c>
      <c r="AJ9" t="s">
        <v>509</v>
      </c>
      <c r="AK9" t="s">
        <v>521</v>
      </c>
      <c r="AL9" t="s">
        <v>532</v>
      </c>
      <c r="AQ9" t="s">
        <v>552</v>
      </c>
      <c r="AS9" t="s">
        <v>575</v>
      </c>
      <c r="AX9" t="s">
        <v>618</v>
      </c>
      <c r="BB9" t="s">
        <v>639</v>
      </c>
      <c r="BE9" t="s">
        <v>250</v>
      </c>
      <c r="BG9" t="s">
        <v>660</v>
      </c>
      <c r="BI9" t="s">
        <v>671</v>
      </c>
      <c r="BK9" t="s">
        <v>75</v>
      </c>
      <c r="BL9" t="s">
        <v>686</v>
      </c>
      <c r="BM9" t="s">
        <v>708</v>
      </c>
      <c r="BP9" t="s">
        <v>725</v>
      </c>
      <c r="BR9" t="s">
        <v>739</v>
      </c>
      <c r="BT9" t="s">
        <v>753</v>
      </c>
      <c r="BV9" t="s">
        <v>767</v>
      </c>
      <c r="BX9" t="s">
        <v>781</v>
      </c>
      <c r="BZ9" t="s">
        <v>781</v>
      </c>
    </row>
    <row r="10" spans="1:81" x14ac:dyDescent="0.2">
      <c r="C10" t="s">
        <v>217</v>
      </c>
      <c r="E10" t="s">
        <v>227</v>
      </c>
      <c r="F10" t="s">
        <v>222</v>
      </c>
      <c r="H10" t="s">
        <v>247</v>
      </c>
      <c r="K10" t="s">
        <v>266</v>
      </c>
      <c r="L10" t="s">
        <v>265</v>
      </c>
      <c r="N10" t="s">
        <v>313</v>
      </c>
      <c r="O10" t="s">
        <v>321</v>
      </c>
      <c r="P10" t="s">
        <v>328</v>
      </c>
      <c r="U10" t="s">
        <v>359</v>
      </c>
      <c r="V10" t="s">
        <v>380</v>
      </c>
      <c r="W10" t="s">
        <v>388</v>
      </c>
      <c r="Z10" t="s">
        <v>405</v>
      </c>
      <c r="AA10" t="s">
        <v>426</v>
      </c>
      <c r="AB10" t="s">
        <v>388</v>
      </c>
      <c r="AC10" t="s">
        <v>437</v>
      </c>
      <c r="AE10" t="s">
        <v>388</v>
      </c>
      <c r="AG10" t="s">
        <v>462</v>
      </c>
      <c r="AH10" t="s">
        <v>480</v>
      </c>
      <c r="AI10" t="s">
        <v>489</v>
      </c>
      <c r="AJ10" t="s">
        <v>510</v>
      </c>
      <c r="AK10" t="s">
        <v>522</v>
      </c>
      <c r="AL10" t="s">
        <v>533</v>
      </c>
      <c r="AQ10" t="s">
        <v>553</v>
      </c>
      <c r="AS10" t="s">
        <v>576</v>
      </c>
      <c r="AX10" t="s">
        <v>619</v>
      </c>
      <c r="BB10" t="s">
        <v>640</v>
      </c>
      <c r="BG10" t="s">
        <v>661</v>
      </c>
      <c r="BI10" t="s">
        <v>672</v>
      </c>
      <c r="BK10" t="s">
        <v>74</v>
      </c>
      <c r="BL10" t="s">
        <v>687</v>
      </c>
      <c r="BM10" t="s">
        <v>709</v>
      </c>
      <c r="BP10" t="s">
        <v>726</v>
      </c>
      <c r="BR10" t="s">
        <v>740</v>
      </c>
      <c r="BT10" t="s">
        <v>754</v>
      </c>
      <c r="BV10" t="s">
        <v>768</v>
      </c>
      <c r="BX10" t="s">
        <v>782</v>
      </c>
      <c r="BZ10" t="s">
        <v>782</v>
      </c>
    </row>
    <row r="11" spans="1:81" x14ac:dyDescent="0.2">
      <c r="E11" t="s">
        <v>233</v>
      </c>
      <c r="F11" t="s">
        <v>232</v>
      </c>
      <c r="H11" t="s">
        <v>248</v>
      </c>
      <c r="K11" t="s">
        <v>267</v>
      </c>
      <c r="L11" t="s">
        <v>266</v>
      </c>
      <c r="N11" t="s">
        <v>239</v>
      </c>
      <c r="U11" t="s">
        <v>360</v>
      </c>
      <c r="W11" t="s">
        <v>389</v>
      </c>
      <c r="Z11" t="s">
        <v>406</v>
      </c>
      <c r="AB11" t="s">
        <v>389</v>
      </c>
      <c r="AC11" t="s">
        <v>438</v>
      </c>
      <c r="AE11" t="s">
        <v>389</v>
      </c>
      <c r="AG11" t="s">
        <v>463</v>
      </c>
      <c r="AH11" t="s">
        <v>481</v>
      </c>
      <c r="AI11" t="s">
        <v>490</v>
      </c>
      <c r="AJ11" t="s">
        <v>511</v>
      </c>
      <c r="AK11" t="s">
        <v>523</v>
      </c>
      <c r="AL11" t="s">
        <v>534</v>
      </c>
      <c r="AQ11" t="s">
        <v>554</v>
      </c>
      <c r="AS11" t="s">
        <v>577</v>
      </c>
      <c r="AX11" t="s">
        <v>620</v>
      </c>
      <c r="BB11" t="s">
        <v>641</v>
      </c>
      <c r="BG11" t="s">
        <v>662</v>
      </c>
      <c r="BI11" t="s">
        <v>673</v>
      </c>
      <c r="BK11" t="s">
        <v>680</v>
      </c>
      <c r="BL11" t="s">
        <v>688</v>
      </c>
      <c r="BM11" t="s">
        <v>710</v>
      </c>
      <c r="BP11" t="s">
        <v>727</v>
      </c>
      <c r="BR11" t="s">
        <v>741</v>
      </c>
      <c r="BT11" t="s">
        <v>755</v>
      </c>
      <c r="BV11" t="s">
        <v>769</v>
      </c>
      <c r="BX11" t="s">
        <v>783</v>
      </c>
      <c r="BZ11" t="s">
        <v>783</v>
      </c>
    </row>
    <row r="12" spans="1:81" x14ac:dyDescent="0.2">
      <c r="E12" t="s">
        <v>222</v>
      </c>
      <c r="H12" t="s">
        <v>249</v>
      </c>
      <c r="K12" t="s">
        <v>268</v>
      </c>
      <c r="L12" t="s">
        <v>267</v>
      </c>
      <c r="U12" t="s">
        <v>361</v>
      </c>
      <c r="Z12" t="s">
        <v>407</v>
      </c>
      <c r="AB12" t="s">
        <v>428</v>
      </c>
      <c r="AC12" t="s">
        <v>439</v>
      </c>
      <c r="AE12" t="s">
        <v>428</v>
      </c>
      <c r="AG12" t="s">
        <v>464</v>
      </c>
      <c r="AI12" t="s">
        <v>491</v>
      </c>
      <c r="AJ12" t="s">
        <v>512</v>
      </c>
      <c r="AK12" t="s">
        <v>524</v>
      </c>
      <c r="AL12" t="s">
        <v>535</v>
      </c>
      <c r="AQ12" t="s">
        <v>555</v>
      </c>
      <c r="AS12" t="s">
        <v>578</v>
      </c>
      <c r="AX12" t="s">
        <v>621</v>
      </c>
      <c r="BB12" t="s">
        <v>642</v>
      </c>
      <c r="BI12" t="s">
        <v>674</v>
      </c>
      <c r="BL12" t="s">
        <v>689</v>
      </c>
      <c r="BM12" t="s">
        <v>711</v>
      </c>
      <c r="BP12" t="s">
        <v>728</v>
      </c>
      <c r="BR12" t="s">
        <v>742</v>
      </c>
      <c r="BT12" t="s">
        <v>756</v>
      </c>
      <c r="BV12" t="s">
        <v>770</v>
      </c>
      <c r="BX12" t="s">
        <v>784</v>
      </c>
      <c r="BZ12" t="s">
        <v>784</v>
      </c>
    </row>
    <row r="13" spans="1:81" x14ac:dyDescent="0.2">
      <c r="E13" t="s">
        <v>217</v>
      </c>
      <c r="H13" t="s">
        <v>250</v>
      </c>
      <c r="K13" t="s">
        <v>269</v>
      </c>
      <c r="L13" t="s">
        <v>268</v>
      </c>
      <c r="U13" t="s">
        <v>362</v>
      </c>
      <c r="Z13" t="s">
        <v>408</v>
      </c>
      <c r="AB13" t="s">
        <v>429</v>
      </c>
      <c r="AC13" t="s">
        <v>440</v>
      </c>
      <c r="AG13" t="s">
        <v>465</v>
      </c>
      <c r="AI13" t="s">
        <v>492</v>
      </c>
      <c r="AJ13" t="s">
        <v>513</v>
      </c>
      <c r="AK13" t="s">
        <v>525</v>
      </c>
      <c r="AQ13" t="s">
        <v>556</v>
      </c>
      <c r="AS13" t="s">
        <v>579</v>
      </c>
      <c r="AX13" t="s">
        <v>622</v>
      </c>
      <c r="BB13" t="s">
        <v>643</v>
      </c>
      <c r="BI13" t="s">
        <v>675</v>
      </c>
      <c r="BL13" t="s">
        <v>690</v>
      </c>
      <c r="BM13" t="s">
        <v>712</v>
      </c>
      <c r="BP13" t="s">
        <v>729</v>
      </c>
      <c r="BR13" t="s">
        <v>743</v>
      </c>
      <c r="BT13" t="s">
        <v>757</v>
      </c>
      <c r="BV13" t="s">
        <v>771</v>
      </c>
      <c r="BX13" t="s">
        <v>785</v>
      </c>
      <c r="BZ13" t="s">
        <v>785</v>
      </c>
    </row>
    <row r="14" spans="1:81" x14ac:dyDescent="0.2">
      <c r="K14" t="s">
        <v>270</v>
      </c>
      <c r="L14" t="s">
        <v>269</v>
      </c>
      <c r="U14" t="s">
        <v>363</v>
      </c>
      <c r="Z14" t="s">
        <v>409</v>
      </c>
      <c r="AC14" t="s">
        <v>441</v>
      </c>
      <c r="AG14" t="s">
        <v>466</v>
      </c>
      <c r="AI14" t="s">
        <v>493</v>
      </c>
      <c r="AJ14" t="s">
        <v>514</v>
      </c>
      <c r="AQ14" t="s">
        <v>557</v>
      </c>
      <c r="AS14" t="s">
        <v>580</v>
      </c>
      <c r="BL14" t="s">
        <v>691</v>
      </c>
    </row>
    <row r="15" spans="1:81" x14ac:dyDescent="0.2">
      <c r="K15" t="s">
        <v>271</v>
      </c>
      <c r="L15" t="s">
        <v>270</v>
      </c>
      <c r="U15" t="s">
        <v>364</v>
      </c>
      <c r="Z15" t="s">
        <v>410</v>
      </c>
      <c r="AC15" t="s">
        <v>442</v>
      </c>
      <c r="AG15" t="s">
        <v>467</v>
      </c>
      <c r="AI15" t="s">
        <v>494</v>
      </c>
      <c r="AJ15" t="s">
        <v>515</v>
      </c>
      <c r="AQ15" t="s">
        <v>558</v>
      </c>
      <c r="AS15" t="s">
        <v>581</v>
      </c>
      <c r="BL15" t="s">
        <v>692</v>
      </c>
    </row>
    <row r="16" spans="1:81" x14ac:dyDescent="0.2">
      <c r="K16" t="s">
        <v>272</v>
      </c>
      <c r="L16" t="s">
        <v>271</v>
      </c>
      <c r="U16" t="s">
        <v>365</v>
      </c>
      <c r="Z16" t="s">
        <v>411</v>
      </c>
      <c r="AC16" t="s">
        <v>443</v>
      </c>
      <c r="AG16" t="s">
        <v>468</v>
      </c>
      <c r="AI16" t="s">
        <v>495</v>
      </c>
      <c r="AQ16" t="s">
        <v>559</v>
      </c>
      <c r="AS16" t="s">
        <v>582</v>
      </c>
      <c r="BL16" t="s">
        <v>693</v>
      </c>
    </row>
    <row r="17" spans="11:64" x14ac:dyDescent="0.2">
      <c r="K17" t="s">
        <v>273</v>
      </c>
      <c r="L17" t="s">
        <v>272</v>
      </c>
      <c r="U17" t="s">
        <v>366</v>
      </c>
      <c r="Z17" t="s">
        <v>412</v>
      </c>
      <c r="AC17" t="s">
        <v>444</v>
      </c>
      <c r="AG17" t="s">
        <v>469</v>
      </c>
      <c r="AI17" t="s">
        <v>496</v>
      </c>
      <c r="AQ17" t="s">
        <v>560</v>
      </c>
      <c r="AS17" t="s">
        <v>583</v>
      </c>
      <c r="BL17" t="s">
        <v>694</v>
      </c>
    </row>
    <row r="18" spans="11:64" x14ac:dyDescent="0.2">
      <c r="K18" t="s">
        <v>274</v>
      </c>
      <c r="L18" t="s">
        <v>294</v>
      </c>
      <c r="U18" t="s">
        <v>367</v>
      </c>
      <c r="Z18" t="s">
        <v>413</v>
      </c>
      <c r="AC18" t="s">
        <v>445</v>
      </c>
      <c r="AG18" t="s">
        <v>470</v>
      </c>
      <c r="AI18" t="s">
        <v>497</v>
      </c>
      <c r="AQ18" t="s">
        <v>561</v>
      </c>
      <c r="AS18" t="s">
        <v>584</v>
      </c>
      <c r="BL18" t="s">
        <v>695</v>
      </c>
    </row>
    <row r="19" spans="11:64" x14ac:dyDescent="0.2">
      <c r="K19" t="s">
        <v>275</v>
      </c>
      <c r="L19" t="s">
        <v>273</v>
      </c>
      <c r="U19" t="s">
        <v>368</v>
      </c>
      <c r="Z19" t="s">
        <v>414</v>
      </c>
      <c r="AC19" t="s">
        <v>446</v>
      </c>
      <c r="AG19" t="s">
        <v>471</v>
      </c>
      <c r="AI19" t="s">
        <v>498</v>
      </c>
      <c r="AQ19" t="s">
        <v>562</v>
      </c>
      <c r="AS19" t="s">
        <v>585</v>
      </c>
      <c r="BL19" t="s">
        <v>696</v>
      </c>
    </row>
    <row r="20" spans="11:64" x14ac:dyDescent="0.2">
      <c r="K20" t="s">
        <v>276</v>
      </c>
      <c r="L20" t="s">
        <v>295</v>
      </c>
      <c r="U20" t="s">
        <v>369</v>
      </c>
      <c r="Z20" t="s">
        <v>415</v>
      </c>
      <c r="AC20" t="s">
        <v>447</v>
      </c>
      <c r="AG20" t="s">
        <v>472</v>
      </c>
      <c r="AI20" t="s">
        <v>499</v>
      </c>
      <c r="AS20" t="s">
        <v>586</v>
      </c>
      <c r="BL20" t="s">
        <v>697</v>
      </c>
    </row>
    <row r="21" spans="11:64" x14ac:dyDescent="0.2">
      <c r="K21" t="s">
        <v>277</v>
      </c>
      <c r="L21" t="s">
        <v>274</v>
      </c>
      <c r="U21" t="s">
        <v>370</v>
      </c>
      <c r="Z21" t="s">
        <v>416</v>
      </c>
      <c r="AC21" t="s">
        <v>448</v>
      </c>
      <c r="AG21" t="s">
        <v>473</v>
      </c>
      <c r="AI21" t="s">
        <v>500</v>
      </c>
      <c r="AS21" t="s">
        <v>587</v>
      </c>
      <c r="BL21" t="s">
        <v>698</v>
      </c>
    </row>
    <row r="22" spans="11:64" x14ac:dyDescent="0.2">
      <c r="K22" t="s">
        <v>278</v>
      </c>
      <c r="L22" t="s">
        <v>275</v>
      </c>
      <c r="U22" t="s">
        <v>371</v>
      </c>
      <c r="Z22" t="s">
        <v>417</v>
      </c>
      <c r="AC22" t="s">
        <v>449</v>
      </c>
      <c r="AG22" t="s">
        <v>474</v>
      </c>
      <c r="AI22" t="s">
        <v>501</v>
      </c>
      <c r="AS22" t="s">
        <v>588</v>
      </c>
      <c r="BL22" t="s">
        <v>699</v>
      </c>
    </row>
    <row r="23" spans="11:64" x14ac:dyDescent="0.2">
      <c r="K23" t="s">
        <v>279</v>
      </c>
      <c r="L23" t="s">
        <v>276</v>
      </c>
      <c r="U23" t="s">
        <v>372</v>
      </c>
      <c r="Z23" t="s">
        <v>418</v>
      </c>
      <c r="AC23" t="s">
        <v>450</v>
      </c>
      <c r="AG23" t="s">
        <v>475</v>
      </c>
      <c r="AI23" t="s">
        <v>502</v>
      </c>
      <c r="AS23" t="s">
        <v>589</v>
      </c>
      <c r="BL23" t="s">
        <v>700</v>
      </c>
    </row>
    <row r="24" spans="11:64" x14ac:dyDescent="0.2">
      <c r="K24" t="s">
        <v>280</v>
      </c>
      <c r="L24" t="s">
        <v>277</v>
      </c>
      <c r="AS24" t="s">
        <v>590</v>
      </c>
      <c r="BL24" t="s">
        <v>701</v>
      </c>
    </row>
    <row r="25" spans="11:64" x14ac:dyDescent="0.2">
      <c r="K25" t="s">
        <v>281</v>
      </c>
      <c r="L25" t="s">
        <v>278</v>
      </c>
      <c r="AS25" t="s">
        <v>591</v>
      </c>
    </row>
    <row r="26" spans="11:64" x14ac:dyDescent="0.2">
      <c r="K26" t="s">
        <v>282</v>
      </c>
      <c r="L26" t="s">
        <v>279</v>
      </c>
      <c r="AS26" t="s">
        <v>592</v>
      </c>
    </row>
    <row r="27" spans="11:64" x14ac:dyDescent="0.2">
      <c r="K27" t="s">
        <v>283</v>
      </c>
      <c r="L27" t="s">
        <v>280</v>
      </c>
      <c r="AS27" t="s">
        <v>593</v>
      </c>
    </row>
    <row r="28" spans="11:64" x14ac:dyDescent="0.2">
      <c r="K28" t="s">
        <v>284</v>
      </c>
      <c r="L28" t="s">
        <v>296</v>
      </c>
      <c r="AS28" t="s">
        <v>594</v>
      </c>
    </row>
    <row r="29" spans="11:64" x14ac:dyDescent="0.2">
      <c r="K29" t="s">
        <v>285</v>
      </c>
      <c r="L29" t="s">
        <v>297</v>
      </c>
      <c r="AS29" t="s">
        <v>595</v>
      </c>
    </row>
    <row r="30" spans="11:64" x14ac:dyDescent="0.2">
      <c r="K30" t="s">
        <v>286</v>
      </c>
      <c r="L30" t="s">
        <v>281</v>
      </c>
      <c r="AS30" t="s">
        <v>596</v>
      </c>
    </row>
    <row r="31" spans="11:64" x14ac:dyDescent="0.2">
      <c r="K31" t="s">
        <v>287</v>
      </c>
      <c r="L31" t="s">
        <v>298</v>
      </c>
      <c r="AS31" t="s">
        <v>597</v>
      </c>
    </row>
    <row r="32" spans="11:64" x14ac:dyDescent="0.2">
      <c r="K32" t="s">
        <v>288</v>
      </c>
      <c r="L32" t="s">
        <v>282</v>
      </c>
    </row>
    <row r="33" spans="11:12" x14ac:dyDescent="0.2">
      <c r="K33" t="s">
        <v>289</v>
      </c>
      <c r="L33" t="s">
        <v>283</v>
      </c>
    </row>
    <row r="34" spans="11:12" x14ac:dyDescent="0.2">
      <c r="K34" t="s">
        <v>290</v>
      </c>
      <c r="L34" t="s">
        <v>284</v>
      </c>
    </row>
    <row r="35" spans="11:12" x14ac:dyDescent="0.2">
      <c r="K35" t="s">
        <v>291</v>
      </c>
      <c r="L35" t="s">
        <v>285</v>
      </c>
    </row>
    <row r="36" spans="11:12" x14ac:dyDescent="0.2">
      <c r="L36" t="s">
        <v>286</v>
      </c>
    </row>
    <row r="37" spans="11:12" x14ac:dyDescent="0.2">
      <c r="L37" t="s">
        <v>287</v>
      </c>
    </row>
    <row r="38" spans="11:12" x14ac:dyDescent="0.2">
      <c r="L38" t="s">
        <v>299</v>
      </c>
    </row>
    <row r="39" spans="11:12" x14ac:dyDescent="0.2">
      <c r="L39" t="s">
        <v>288</v>
      </c>
    </row>
    <row r="40" spans="11:12" x14ac:dyDescent="0.2">
      <c r="L40" t="s">
        <v>289</v>
      </c>
    </row>
    <row r="41" spans="11:12" x14ac:dyDescent="0.2">
      <c r="L41" t="s">
        <v>290</v>
      </c>
    </row>
    <row r="42" spans="11:12" x14ac:dyDescent="0.2">
      <c r="L42" t="s">
        <v>300</v>
      </c>
    </row>
    <row r="43" spans="11:12" x14ac:dyDescent="0.2">
      <c r="L43" t="s">
        <v>291</v>
      </c>
    </row>
  </sheetData>
  <conditionalFormatting sqref="B1">
    <cfRule type="containsBlanks" dxfId="1" priority="2">
      <formula>LEN(TRIM(B1))=0</formula>
    </cfRule>
  </conditionalFormatting>
  <conditionalFormatting sqref="D1">
    <cfRule type="containsBlanks" dxfId="0" priority="1">
      <formula>LEN(TRIM(D1))=0</formula>
    </cfRule>
  </conditionalFormatting>
  <pageMargins left="0.7" right="0.7" top="0.75" bottom="0.75" header="0.3" footer="0.3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7552-2F87-EA47-89B7-7369B9910EC7}">
  <dimension ref="A1:B200"/>
  <sheetViews>
    <sheetView zoomScaleNormal="100" workbookViewId="0"/>
  </sheetViews>
  <sheetFormatPr baseColWidth="10" defaultRowHeight="15" x14ac:dyDescent="0.2"/>
  <cols>
    <col min="1" max="1" width="8.83203125" customWidth="1"/>
    <col min="2" max="2" width="13.83203125" customWidth="1"/>
    <col min="3" max="256" width="8.83203125" customWidth="1"/>
  </cols>
  <sheetData>
    <row r="1" spans="1:2" x14ac:dyDescent="0.2">
      <c r="A1" t="str">
        <f>IF(AND('Dächer und Decken'!A11&lt;&gt;"",LEN('Dächer und Decken'!A11)&lt;10),'Dächer und Decken'!A11,"")</f>
        <v/>
      </c>
      <c r="B1" t="str">
        <f t="array" ref="B1">IF(ROWS(B$1:B1)&gt;SUMPRODUCT(--(A:A&lt;&gt;"")),"",INDEX(A:A,SMALL(IF(A$1:A$200&lt;&gt;"",ROW(A$1:A$200)),ROWS(B$1:B1))))</f>
        <v/>
      </c>
    </row>
    <row r="2" spans="1:2" x14ac:dyDescent="0.2">
      <c r="A2" t="str">
        <f>IF(AND('Dächer und Decken'!A12&lt;&gt;"",LEN('Dächer und Decken'!A12)&lt;10),'Dächer und Decken'!A12,"")</f>
        <v/>
      </c>
      <c r="B2" t="str">
        <f t="array" ref="B2">IF(ROWS(B$1:B2)&gt;SUMPRODUCT(--(A:A&lt;&gt;"")),"",INDEX(A:A,SMALL(IF(A$1:A$200&lt;&gt;"",ROW(A$1:A$200)),ROWS(B$1:B2))))</f>
        <v/>
      </c>
    </row>
    <row r="3" spans="1:2" x14ac:dyDescent="0.2">
      <c r="A3" t="str">
        <f>IF(AND('Dächer und Decken'!A13&lt;&gt;"",LEN('Dächer und Decken'!A13)&lt;10),'Dächer und Decken'!A13,"")</f>
        <v/>
      </c>
      <c r="B3" t="str">
        <f t="array" ref="B3">IF(ROWS(B$1:B3)&gt;SUMPRODUCT(--(A:A&lt;&gt;"")),"",INDEX(A:A,SMALL(IF(A$1:A$200&lt;&gt;"",ROW(A$1:A$200)),ROWS(B$1:B3))))</f>
        <v/>
      </c>
    </row>
    <row r="4" spans="1:2" x14ac:dyDescent="0.2">
      <c r="A4" t="str">
        <f>IF(AND('Dächer und Decken'!A14&lt;&gt;"",LEN('Dächer und Decken'!A14)&lt;10),'Dächer und Decken'!A14,"")</f>
        <v/>
      </c>
      <c r="B4" t="str">
        <f t="array" ref="B4">IF(ROWS(B$1:B4)&gt;SUMPRODUCT(--(A:A&lt;&gt;"")),"",INDEX(A:A,SMALL(IF(A$1:A$200&lt;&gt;"",ROW(A$1:A$200)),ROWS(B$1:B4))))</f>
        <v/>
      </c>
    </row>
    <row r="5" spans="1:2" x14ac:dyDescent="0.2">
      <c r="A5" t="str">
        <f>IF(AND('Dächer und Decken'!A15&lt;&gt;"",LEN('Dächer und Decken'!A15)&lt;10),'Dächer und Decken'!A15,"")</f>
        <v/>
      </c>
      <c r="B5" t="str">
        <f t="array" ref="B5">IF(ROWS(B$1:B5)&gt;SUMPRODUCT(--(A:A&lt;&gt;"")),"",INDEX(A:A,SMALL(IF(A$1:A$200&lt;&gt;"",ROW(A$1:A$200)),ROWS(B$1:B5))))</f>
        <v/>
      </c>
    </row>
    <row r="6" spans="1:2" x14ac:dyDescent="0.2">
      <c r="A6" t="str">
        <f>IF(AND('Dächer und Decken'!A16&lt;&gt;"",LEN('Dächer und Decken'!A16)&lt;10),'Dächer und Decken'!A16,"")</f>
        <v/>
      </c>
      <c r="B6" t="str">
        <f t="array" ref="B6">IF(ROWS(B$1:B6)&gt;SUMPRODUCT(--(A:A&lt;&gt;"")),"",INDEX(A:A,SMALL(IF(A$1:A$200&lt;&gt;"",ROW(A$1:A$200)),ROWS(B$1:B6))))</f>
        <v/>
      </c>
    </row>
    <row r="7" spans="1:2" x14ac:dyDescent="0.2">
      <c r="A7" t="str">
        <f>IF(AND('Dächer und Decken'!A17&lt;&gt;"",LEN('Dächer und Decken'!A17)&lt;10),'Dächer und Decken'!A17,"")</f>
        <v/>
      </c>
      <c r="B7" t="str">
        <f t="array" ref="B7">IF(ROWS(B$1:B7)&gt;SUMPRODUCT(--(A:A&lt;&gt;"")),"",INDEX(A:A,SMALL(IF(A$1:A$200&lt;&gt;"",ROW(A$1:A$200)),ROWS(B$1:B7))))</f>
        <v/>
      </c>
    </row>
    <row r="8" spans="1:2" x14ac:dyDescent="0.2">
      <c r="A8" t="str">
        <f>IF(AND('Dächer und Decken'!A18&lt;&gt;"",LEN('Dächer und Decken'!A18)&lt;10),'Dächer und Decken'!A18,"")</f>
        <v/>
      </c>
      <c r="B8" t="str">
        <f t="array" ref="B8">IF(ROWS(B$1:B8)&gt;SUMPRODUCT(--(A:A&lt;&gt;"")),"",INDEX(A:A,SMALL(IF(A$1:A$200&lt;&gt;"",ROW(A$1:A$200)),ROWS(B$1:B8))))</f>
        <v/>
      </c>
    </row>
    <row r="9" spans="1:2" x14ac:dyDescent="0.2">
      <c r="A9" t="str">
        <f>IF(AND('Dächer und Decken'!A19&lt;&gt;"",LEN('Dächer und Decken'!A19)&lt;10),'Dächer und Decken'!A19,"")</f>
        <v/>
      </c>
      <c r="B9" t="str">
        <f t="array" ref="B9">IF(ROWS(B$1:B9)&gt;SUMPRODUCT(--(A:A&lt;&gt;"")),"",INDEX(A:A,SMALL(IF(A$1:A$200&lt;&gt;"",ROW(A$1:A$200)),ROWS(B$1:B9))))</f>
        <v/>
      </c>
    </row>
    <row r="10" spans="1:2" x14ac:dyDescent="0.2">
      <c r="A10" t="str">
        <f>IF(AND('Dächer und Decken'!A20&lt;&gt;"",LEN('Dächer und Decken'!A20)&lt;10),'Dächer und Decken'!A20,"")</f>
        <v/>
      </c>
      <c r="B10" t="str">
        <f t="array" ref="B10">IF(ROWS(B$1:B10)&gt;SUMPRODUCT(--(A:A&lt;&gt;"")),"",INDEX(A:A,SMALL(IF(A$1:A$200&lt;&gt;"",ROW(A$1:A$200)),ROWS(B$1:B10))))</f>
        <v/>
      </c>
    </row>
    <row r="11" spans="1:2" x14ac:dyDescent="0.2">
      <c r="A11" t="str">
        <f>IF(AND('Dächer und Decken'!A21&lt;&gt;"",LEN('Dächer und Decken'!A21)&lt;10),'Dächer und Decken'!A21,"")</f>
        <v/>
      </c>
      <c r="B11" t="str">
        <f t="array" ref="B11">IF(ROWS(B$1:B11)&gt;SUMPRODUCT(--(A:A&lt;&gt;"")),"",INDEX(A:A,SMALL(IF(A$1:A$200&lt;&gt;"",ROW(A$1:A$200)),ROWS(B$1:B11))))</f>
        <v/>
      </c>
    </row>
    <row r="12" spans="1:2" x14ac:dyDescent="0.2">
      <c r="A12" t="str">
        <f>IF(AND('Dächer und Decken'!A22&lt;&gt;"",LEN('Dächer und Decken'!A22)&lt;10),'Dächer und Decken'!A22,"")</f>
        <v/>
      </c>
      <c r="B12" t="str">
        <f t="array" ref="B12">IF(ROWS(B$1:B12)&gt;SUMPRODUCT(--(A:A&lt;&gt;"")),"",INDEX(A:A,SMALL(IF(A$1:A$200&lt;&gt;"",ROW(A$1:A$200)),ROWS(B$1:B12))))</f>
        <v/>
      </c>
    </row>
    <row r="13" spans="1:2" x14ac:dyDescent="0.2">
      <c r="A13" t="str">
        <f>IF(AND('Dächer und Decken'!A23&lt;&gt;"",LEN('Dächer und Decken'!A23)&lt;10),'Dächer und Decken'!A23,"")</f>
        <v/>
      </c>
      <c r="B13" t="str">
        <f t="array" ref="B13">IF(ROWS(B$1:B13)&gt;SUMPRODUCT(--(A:A&lt;&gt;"")),"",INDEX(A:A,SMALL(IF(A$1:A$200&lt;&gt;"",ROW(A$1:A$200)),ROWS(B$1:B13))))</f>
        <v/>
      </c>
    </row>
    <row r="14" spans="1:2" x14ac:dyDescent="0.2">
      <c r="A14" t="str">
        <f>IF(AND('Dächer und Decken'!A24&lt;&gt;"",LEN('Dächer und Decken'!A24)&lt;10),'Dächer und Decken'!A24,"")</f>
        <v/>
      </c>
      <c r="B14" t="str">
        <f t="array" ref="B14">IF(ROWS(B$1:B14)&gt;SUMPRODUCT(--(A:A&lt;&gt;"")),"",INDEX(A:A,SMALL(IF(A$1:A$200&lt;&gt;"",ROW(A$1:A$200)),ROWS(B$1:B14))))</f>
        <v/>
      </c>
    </row>
    <row r="15" spans="1:2" x14ac:dyDescent="0.2">
      <c r="A15" t="str">
        <f>IF(AND('Dächer und Decken'!A25&lt;&gt;"",LEN('Dächer und Decken'!A25)&lt;10),'Dächer und Decken'!A25,"")</f>
        <v/>
      </c>
      <c r="B15" t="str">
        <f t="array" ref="B15">IF(ROWS(B$1:B15)&gt;SUMPRODUCT(--(A:A&lt;&gt;"")),"",INDEX(A:A,SMALL(IF(A$1:A$200&lt;&gt;"",ROW(A$1:A$200)),ROWS(B$1:B15))))</f>
        <v/>
      </c>
    </row>
    <row r="16" spans="1:2" x14ac:dyDescent="0.2">
      <c r="A16" t="str">
        <f>IF(AND('Dächer und Decken'!A26&lt;&gt;"",LEN('Dächer und Decken'!A26)&lt;10),'Dächer und Decken'!A26,"")</f>
        <v/>
      </c>
      <c r="B16" t="str">
        <f t="array" ref="B16">IF(ROWS(B$1:B16)&gt;SUMPRODUCT(--(A:A&lt;&gt;"")),"",INDEX(A:A,SMALL(IF(A$1:A$200&lt;&gt;"",ROW(A$1:A$200)),ROWS(B$1:B16))))</f>
        <v/>
      </c>
    </row>
    <row r="17" spans="1:2" x14ac:dyDescent="0.2">
      <c r="A17" t="str">
        <f>IF(AND('Dächer und Decken'!A27&lt;&gt;"",LEN('Dächer und Decken'!A27)&lt;10),'Dächer und Decken'!A27,"")</f>
        <v/>
      </c>
      <c r="B17" t="str">
        <f t="array" ref="B17">IF(ROWS(B$1:B17)&gt;SUMPRODUCT(--(A:A&lt;&gt;"")),"",INDEX(A:A,SMALL(IF(A$1:A$200&lt;&gt;"",ROW(A$1:A$200)),ROWS(B$1:B17))))</f>
        <v/>
      </c>
    </row>
    <row r="18" spans="1:2" x14ac:dyDescent="0.2">
      <c r="A18" t="str">
        <f>IF(AND('Dächer und Decken'!A28&lt;&gt;"",LEN('Dächer und Decken'!A28)&lt;10),'Dächer und Decken'!A28,"")</f>
        <v/>
      </c>
      <c r="B18" t="str">
        <f t="array" ref="B18">IF(ROWS(B$1:B18)&gt;SUMPRODUCT(--(A:A&lt;&gt;"")),"",INDEX(A:A,SMALL(IF(A$1:A$200&lt;&gt;"",ROW(A$1:A$200)),ROWS(B$1:B18))))</f>
        <v/>
      </c>
    </row>
    <row r="19" spans="1:2" x14ac:dyDescent="0.2">
      <c r="A19" t="str">
        <f>IF(AND('Dächer und Decken'!A29&lt;&gt;"",LEN('Dächer und Decken'!A29)&lt;10),'Dächer und Decken'!A29,"")</f>
        <v/>
      </c>
      <c r="B19" t="str">
        <f t="array" ref="B19">IF(ROWS(B$1:B19)&gt;SUMPRODUCT(--(A:A&lt;&gt;"")),"",INDEX(A:A,SMALL(IF(A$1:A$200&lt;&gt;"",ROW(A$1:A$200)),ROWS(B$1:B19))))</f>
        <v/>
      </c>
    </row>
    <row r="20" spans="1:2" x14ac:dyDescent="0.2">
      <c r="A20" t="str">
        <f>IF(AND('Dächer und Decken'!A30&lt;&gt;"",LEN('Dächer und Decken'!A30)&lt;10),'Dächer und Decken'!A30,"")</f>
        <v/>
      </c>
      <c r="B20" t="str">
        <f t="array" ref="B20">IF(ROWS(B$1:B20)&gt;SUMPRODUCT(--(A:A&lt;&gt;"")),"",INDEX(A:A,SMALL(IF(A$1:A$200&lt;&gt;"",ROW(A$1:A$200)),ROWS(B$1:B20))))</f>
        <v/>
      </c>
    </row>
    <row r="21" spans="1:2" x14ac:dyDescent="0.2">
      <c r="A21" t="str">
        <f>IF(AND('Dächer und Decken'!A31&lt;&gt;"",LEN('Dächer und Decken'!A31)&lt;10),'Dächer und Decken'!A31,"")</f>
        <v/>
      </c>
      <c r="B21" t="str">
        <f t="array" ref="B21">IF(ROWS(B$1:B21)&gt;SUMPRODUCT(--(A:A&lt;&gt;"")),"",INDEX(A:A,SMALL(IF(A$1:A$200&lt;&gt;"",ROW(A$1:A$200)),ROWS(B$1:B21))))</f>
        <v/>
      </c>
    </row>
    <row r="22" spans="1:2" x14ac:dyDescent="0.2">
      <c r="A22" t="str">
        <f>IF(AND('Dächer und Decken'!A32&lt;&gt;"",LEN('Dächer und Decken'!A32)&lt;10),'Dächer und Decken'!A32,"")</f>
        <v/>
      </c>
      <c r="B22" t="str">
        <f t="array" ref="B22">IF(ROWS(B$1:B22)&gt;SUMPRODUCT(--(A:A&lt;&gt;"")),"",INDEX(A:A,SMALL(IF(A$1:A$200&lt;&gt;"",ROW(A$1:A$200)),ROWS(B$1:B22))))</f>
        <v/>
      </c>
    </row>
    <row r="23" spans="1:2" x14ac:dyDescent="0.2">
      <c r="A23" t="str">
        <f>IF(AND('Dächer und Decken'!A33&lt;&gt;"",LEN('Dächer und Decken'!A33)&lt;10),'Dächer und Decken'!A33,"")</f>
        <v/>
      </c>
      <c r="B23" t="str">
        <f t="array" ref="B23">IF(ROWS(B$1:B23)&gt;SUMPRODUCT(--(A:A&lt;&gt;"")),"",INDEX(A:A,SMALL(IF(A$1:A$200&lt;&gt;"",ROW(A$1:A$200)),ROWS(B$1:B23))))</f>
        <v/>
      </c>
    </row>
    <row r="24" spans="1:2" x14ac:dyDescent="0.2">
      <c r="A24" t="str">
        <f>IF(AND('Dächer und Decken'!A34&lt;&gt;"",LEN('Dächer und Decken'!A34)&lt;10),'Dächer und Decken'!A34,"")</f>
        <v/>
      </c>
      <c r="B24" t="str">
        <f t="array" ref="B24">IF(ROWS(B$1:B24)&gt;SUMPRODUCT(--(A:A&lt;&gt;"")),"",INDEX(A:A,SMALL(IF(A$1:A$200&lt;&gt;"",ROW(A$1:A$200)),ROWS(B$1:B24))))</f>
        <v/>
      </c>
    </row>
    <row r="25" spans="1:2" x14ac:dyDescent="0.2">
      <c r="A25" t="str">
        <f>IF(AND('Dächer und Decken'!A35&lt;&gt;"",LEN('Dächer und Decken'!A35)&lt;10),'Dächer und Decken'!A35,"")</f>
        <v/>
      </c>
      <c r="B25" t="str">
        <f t="array" ref="B25">IF(ROWS(B$1:B25)&gt;SUMPRODUCT(--(A:A&lt;&gt;"")),"",INDEX(A:A,SMALL(IF(A$1:A$200&lt;&gt;"",ROW(A$1:A$200)),ROWS(B$1:B25))))</f>
        <v/>
      </c>
    </row>
    <row r="26" spans="1:2" x14ac:dyDescent="0.2">
      <c r="A26" t="str">
        <f>IF(AND('Dächer und Decken'!A36&lt;&gt;"",LEN('Dächer und Decken'!A36)&lt;10),'Dächer und Decken'!A36,"")</f>
        <v/>
      </c>
      <c r="B26" t="str">
        <f t="array" ref="B26">IF(ROWS(B$1:B26)&gt;SUMPRODUCT(--(A:A&lt;&gt;"")),"",INDEX(A:A,SMALL(IF(A$1:A$200&lt;&gt;"",ROW(A$1:A$200)),ROWS(B$1:B26))))</f>
        <v/>
      </c>
    </row>
    <row r="27" spans="1:2" x14ac:dyDescent="0.2">
      <c r="A27" t="str">
        <f>IF(AND('Dächer und Decken'!A37&lt;&gt;"",LEN('Dächer und Decken'!A37)&lt;10),'Dächer und Decken'!A37,"")</f>
        <v/>
      </c>
      <c r="B27" t="str">
        <f t="array" ref="B27">IF(ROWS(B$1:B27)&gt;SUMPRODUCT(--(A:A&lt;&gt;"")),"",INDEX(A:A,SMALL(IF(A$1:A$200&lt;&gt;"",ROW(A$1:A$200)),ROWS(B$1:B27))))</f>
        <v/>
      </c>
    </row>
    <row r="28" spans="1:2" x14ac:dyDescent="0.2">
      <c r="A28" t="str">
        <f>IF(AND('Dächer und Decken'!A38&lt;&gt;"",LEN('Dächer und Decken'!A38)&lt;10),'Dächer und Decken'!A38,"")</f>
        <v/>
      </c>
      <c r="B28" t="str">
        <f t="array" ref="B28">IF(ROWS(B$1:B28)&gt;SUMPRODUCT(--(A:A&lt;&gt;"")),"",INDEX(A:A,SMALL(IF(A$1:A$200&lt;&gt;"",ROW(A$1:A$200)),ROWS(B$1:B28))))</f>
        <v/>
      </c>
    </row>
    <row r="29" spans="1:2" x14ac:dyDescent="0.2">
      <c r="A29" t="str">
        <f>IF(AND('Dächer und Decken'!A39&lt;&gt;"",LEN('Dächer und Decken'!A39)&lt;10),'Dächer und Decken'!A39,"")</f>
        <v/>
      </c>
      <c r="B29" t="str">
        <f t="array" ref="B29">IF(ROWS(B$1:B29)&gt;SUMPRODUCT(--(A:A&lt;&gt;"")),"",INDEX(A:A,SMALL(IF(A$1:A$200&lt;&gt;"",ROW(A$1:A$200)),ROWS(B$1:B29))))</f>
        <v/>
      </c>
    </row>
    <row r="30" spans="1:2" x14ac:dyDescent="0.2">
      <c r="A30" t="str">
        <f>IF(AND('Dächer und Decken'!A40&lt;&gt;"",LEN('Dächer und Decken'!A40)&lt;10),'Dächer und Decken'!A40,"")</f>
        <v/>
      </c>
      <c r="B30" t="str">
        <f t="array" ref="B30">IF(ROWS(B$1:B30)&gt;SUMPRODUCT(--(A:A&lt;&gt;"")),"",INDEX(A:A,SMALL(IF(A$1:A$200&lt;&gt;"",ROW(A$1:A$200)),ROWS(B$1:B30))))</f>
        <v/>
      </c>
    </row>
    <row r="31" spans="1:2" x14ac:dyDescent="0.2">
      <c r="A31" t="str">
        <f>IF(AND('Dächer und Decken'!A41&lt;&gt;"",LEN('Dächer und Decken'!A41)&lt;10),'Dächer und Decken'!A41,"")</f>
        <v/>
      </c>
      <c r="B31" t="str">
        <f t="array" ref="B31">IF(ROWS(B$1:B31)&gt;SUMPRODUCT(--(A:A&lt;&gt;"")),"",INDEX(A:A,SMALL(IF(A$1:A$200&lt;&gt;"",ROW(A$1:A$200)),ROWS(B$1:B31))))</f>
        <v/>
      </c>
    </row>
    <row r="32" spans="1:2" x14ac:dyDescent="0.2">
      <c r="A32" t="str">
        <f>IF(AND('Dächer und Decken'!A42&lt;&gt;"",LEN('Dächer und Decken'!A42)&lt;10),'Dächer und Decken'!A42,"")</f>
        <v/>
      </c>
      <c r="B32" t="str">
        <f t="array" ref="B32">IF(ROWS(B$1:B32)&gt;SUMPRODUCT(--(A:A&lt;&gt;"")),"",INDEX(A:A,SMALL(IF(A$1:A$200&lt;&gt;"",ROW(A$1:A$200)),ROWS(B$1:B32))))</f>
        <v/>
      </c>
    </row>
    <row r="33" spans="1:2" x14ac:dyDescent="0.2">
      <c r="A33" t="str">
        <f>IF(AND('Dächer und Decken'!A43&lt;&gt;"",LEN('Dächer und Decken'!A43)&lt;10),'Dächer und Decken'!A43,"")</f>
        <v/>
      </c>
      <c r="B33" t="str">
        <f t="array" ref="B33">IF(ROWS(B$1:B33)&gt;SUMPRODUCT(--(A:A&lt;&gt;"")),"",INDEX(A:A,SMALL(IF(A$1:A$200&lt;&gt;"",ROW(A$1:A$200)),ROWS(B$1:B33))))</f>
        <v/>
      </c>
    </row>
    <row r="34" spans="1:2" x14ac:dyDescent="0.2">
      <c r="A34" t="str">
        <f>IF(AND('Dächer und Decken'!A44&lt;&gt;"",LEN('Dächer und Decken'!A44)&lt;10),'Dächer und Decken'!A44,"")</f>
        <v/>
      </c>
      <c r="B34" t="str">
        <f t="array" ref="B34">IF(ROWS(B$1:B34)&gt;SUMPRODUCT(--(A:A&lt;&gt;"")),"",INDEX(A:A,SMALL(IF(A$1:A$200&lt;&gt;"",ROW(A$1:A$200)),ROWS(B$1:B34))))</f>
        <v/>
      </c>
    </row>
    <row r="35" spans="1:2" x14ac:dyDescent="0.2">
      <c r="A35" t="str">
        <f>IF(AND('Dächer und Decken'!A45&lt;&gt;"",LEN('Dächer und Decken'!A45)&lt;10),'Dächer und Decken'!A45,"")</f>
        <v/>
      </c>
      <c r="B35" t="str">
        <f t="array" ref="B35">IF(ROWS(B$1:B35)&gt;SUMPRODUCT(--(A:A&lt;&gt;"")),"",INDEX(A:A,SMALL(IF(A$1:A$200&lt;&gt;"",ROW(A$1:A$200)),ROWS(B$1:B35))))</f>
        <v/>
      </c>
    </row>
    <row r="36" spans="1:2" x14ac:dyDescent="0.2">
      <c r="A36" t="str">
        <f>IF(AND('Dächer und Decken'!A46&lt;&gt;"",LEN('Dächer und Decken'!A46)&lt;10),'Dächer und Decken'!A46,"")</f>
        <v/>
      </c>
      <c r="B36" t="str">
        <f t="array" ref="B36">IF(ROWS(B$1:B36)&gt;SUMPRODUCT(--(A:A&lt;&gt;"")),"",INDEX(A:A,SMALL(IF(A$1:A$200&lt;&gt;"",ROW(A$1:A$200)),ROWS(B$1:B36))))</f>
        <v/>
      </c>
    </row>
    <row r="37" spans="1:2" x14ac:dyDescent="0.2">
      <c r="A37" t="str">
        <f>IF(AND('Dächer und Decken'!A47&lt;&gt;"",LEN('Dächer und Decken'!A47)&lt;10),'Dächer und Decken'!A47,"")</f>
        <v/>
      </c>
      <c r="B37" t="str">
        <f t="array" ref="B37">IF(ROWS(B$1:B37)&gt;SUMPRODUCT(--(A:A&lt;&gt;"")),"",INDEX(A:A,SMALL(IF(A$1:A$200&lt;&gt;"",ROW(A$1:A$200)),ROWS(B$1:B37))))</f>
        <v/>
      </c>
    </row>
    <row r="38" spans="1:2" x14ac:dyDescent="0.2">
      <c r="A38" t="str">
        <f>IF(AND('Dächer und Decken'!A48&lt;&gt;"",LEN('Dächer und Decken'!A48)&lt;10),'Dächer und Decken'!A48,"")</f>
        <v/>
      </c>
      <c r="B38" t="str">
        <f t="array" ref="B38">IF(ROWS(B$1:B38)&gt;SUMPRODUCT(--(A:A&lt;&gt;"")),"",INDEX(A:A,SMALL(IF(A$1:A$200&lt;&gt;"",ROW(A$1:A$200)),ROWS(B$1:B38))))</f>
        <v/>
      </c>
    </row>
    <row r="39" spans="1:2" x14ac:dyDescent="0.2">
      <c r="A39" t="str">
        <f>IF(AND('Dächer und Decken'!A49&lt;&gt;"",LEN('Dächer und Decken'!A49)&lt;10),'Dächer und Decken'!A49,"")</f>
        <v/>
      </c>
      <c r="B39" t="str">
        <f t="array" ref="B39">IF(ROWS(B$1:B39)&gt;SUMPRODUCT(--(A:A&lt;&gt;"")),"",INDEX(A:A,SMALL(IF(A$1:A$200&lt;&gt;"",ROW(A$1:A$200)),ROWS(B$1:B39))))</f>
        <v/>
      </c>
    </row>
    <row r="40" spans="1:2" x14ac:dyDescent="0.2">
      <c r="A40" t="str">
        <f>IF(AND('Dächer und Decken'!A50&lt;&gt;"",LEN('Dächer und Decken'!A50)&lt;10),'Dächer und Decken'!A50,"")</f>
        <v/>
      </c>
      <c r="B40" t="str">
        <f t="array" ref="B40">IF(ROWS(B$1:B40)&gt;SUMPRODUCT(--(A:A&lt;&gt;"")),"",INDEX(A:A,SMALL(IF(A$1:A$200&lt;&gt;"",ROW(A$1:A$200)),ROWS(B$1:B40))))</f>
        <v/>
      </c>
    </row>
    <row r="41" spans="1:2" x14ac:dyDescent="0.2">
      <c r="A41" t="str">
        <f>IF(AND('Dächer und Decken'!A51&lt;&gt;"",LEN('Dächer und Decken'!A51)&lt;10),'Dächer und Decken'!A51,"")</f>
        <v/>
      </c>
      <c r="B41" t="str">
        <f t="array" ref="B41">IF(ROWS(B$1:B41)&gt;SUMPRODUCT(--(A:A&lt;&gt;"")),"",INDEX(A:A,SMALL(IF(A$1:A$200&lt;&gt;"",ROW(A$1:A$200)),ROWS(B$1:B41))))</f>
        <v/>
      </c>
    </row>
    <row r="42" spans="1:2" x14ac:dyDescent="0.2">
      <c r="A42" t="str">
        <f>IF(AND('Dächer und Decken'!A52&lt;&gt;"",LEN('Dächer und Decken'!A52)&lt;10),'Dächer und Decken'!A52,"")</f>
        <v/>
      </c>
      <c r="B42" t="str">
        <f t="array" ref="B42">IF(ROWS(B$1:B42)&gt;SUMPRODUCT(--(A:A&lt;&gt;"")),"",INDEX(A:A,SMALL(IF(A$1:A$200&lt;&gt;"",ROW(A$1:A$200)),ROWS(B$1:B42))))</f>
        <v/>
      </c>
    </row>
    <row r="43" spans="1:2" x14ac:dyDescent="0.2">
      <c r="A43" t="str">
        <f>IF(AND('Dächer und Decken'!A53&lt;&gt;"",LEN('Dächer und Decken'!A53)&lt;10),'Dächer und Decken'!A53,"")</f>
        <v/>
      </c>
      <c r="B43" t="str">
        <f t="array" ref="B43">IF(ROWS(B$1:B43)&gt;SUMPRODUCT(--(A:A&lt;&gt;"")),"",INDEX(A:A,SMALL(IF(A$1:A$200&lt;&gt;"",ROW(A$1:A$200)),ROWS(B$1:B43))))</f>
        <v/>
      </c>
    </row>
    <row r="44" spans="1:2" x14ac:dyDescent="0.2">
      <c r="A44" t="str">
        <f>IF(AND('Dächer und Decken'!A54&lt;&gt;"",LEN('Dächer und Decken'!A54)&lt;10),'Dächer und Decken'!A54,"")</f>
        <v/>
      </c>
      <c r="B44" t="str">
        <f t="array" ref="B44">IF(ROWS(B$1:B44)&gt;SUMPRODUCT(--(A:A&lt;&gt;"")),"",INDEX(A:A,SMALL(IF(A$1:A$200&lt;&gt;"",ROW(A$1:A$200)),ROWS(B$1:B44))))</f>
        <v/>
      </c>
    </row>
    <row r="45" spans="1:2" x14ac:dyDescent="0.2">
      <c r="A45" t="str">
        <f>IF(AND('Dächer und Decken'!A55&lt;&gt;"",LEN('Dächer und Decken'!A55)&lt;10),'Dächer und Decken'!A55,"")</f>
        <v/>
      </c>
      <c r="B45" t="str">
        <f t="array" ref="B45">IF(ROWS(B$1:B45)&gt;SUMPRODUCT(--(A:A&lt;&gt;"")),"",INDEX(A:A,SMALL(IF(A$1:A$200&lt;&gt;"",ROW(A$1:A$200)),ROWS(B$1:B45))))</f>
        <v/>
      </c>
    </row>
    <row r="46" spans="1:2" x14ac:dyDescent="0.2">
      <c r="A46" t="str">
        <f>IF(AND('Dächer und Decken'!A56&lt;&gt;"",LEN('Dächer und Decken'!A56)&lt;10),'Dächer und Decken'!A56,"")</f>
        <v/>
      </c>
      <c r="B46" t="str">
        <f t="array" ref="B46">IF(ROWS(B$1:B46)&gt;SUMPRODUCT(--(A:A&lt;&gt;"")),"",INDEX(A:A,SMALL(IF(A$1:A$200&lt;&gt;"",ROW(A$1:A$200)),ROWS(B$1:B46))))</f>
        <v/>
      </c>
    </row>
    <row r="47" spans="1:2" x14ac:dyDescent="0.2">
      <c r="A47" t="str">
        <f>IF(AND('Dächer und Decken'!A57&lt;&gt;"",LEN('Dächer und Decken'!A57)&lt;10),'Dächer und Decken'!A57,"")</f>
        <v/>
      </c>
      <c r="B47" t="str">
        <f t="array" ref="B47">IF(ROWS(B$1:B47)&gt;SUMPRODUCT(--(A:A&lt;&gt;"")),"",INDEX(A:A,SMALL(IF(A$1:A$200&lt;&gt;"",ROW(A$1:A$200)),ROWS(B$1:B47))))</f>
        <v/>
      </c>
    </row>
    <row r="48" spans="1:2" x14ac:dyDescent="0.2">
      <c r="A48" t="str">
        <f>IF(AND('Dächer und Decken'!A58&lt;&gt;"",LEN('Dächer und Decken'!A58)&lt;10),'Dächer und Decken'!A58,"")</f>
        <v/>
      </c>
      <c r="B48" t="str">
        <f t="array" ref="B48">IF(ROWS(B$1:B48)&gt;SUMPRODUCT(--(A:A&lt;&gt;"")),"",INDEX(A:A,SMALL(IF(A$1:A$200&lt;&gt;"",ROW(A$1:A$200)),ROWS(B$1:B48))))</f>
        <v/>
      </c>
    </row>
    <row r="49" spans="1:2" x14ac:dyDescent="0.2">
      <c r="A49" t="str">
        <f>IF(AND('Dächer und Decken'!A59&lt;&gt;"",LEN('Dächer und Decken'!A59)&lt;10),'Dächer und Decken'!A59,"")</f>
        <v/>
      </c>
      <c r="B49" t="str">
        <f t="array" ref="B49">IF(ROWS(B$1:B49)&gt;SUMPRODUCT(--(A:A&lt;&gt;"")),"",INDEX(A:A,SMALL(IF(A$1:A$200&lt;&gt;"",ROW(A$1:A$200)),ROWS(B$1:B49))))</f>
        <v/>
      </c>
    </row>
    <row r="50" spans="1:2" x14ac:dyDescent="0.2">
      <c r="A50" t="str">
        <f>IF(AND('Dächer und Decken'!A60&lt;&gt;"",LEN('Dächer und Decken'!A60)&lt;10),'Dächer und Decken'!A60,"")</f>
        <v/>
      </c>
      <c r="B50" t="str">
        <f t="array" ref="B50">IF(ROWS(B$1:B50)&gt;SUMPRODUCT(--(A:A&lt;&gt;"")),"",INDEX(A:A,SMALL(IF(A$1:A$200&lt;&gt;"",ROW(A$1:A$200)),ROWS(B$1:B50))))</f>
        <v/>
      </c>
    </row>
    <row r="51" spans="1:2" x14ac:dyDescent="0.2">
      <c r="A51" t="str">
        <f>IF(AND('Dächer und Decken'!A61&lt;&gt;"",LEN('Dächer und Decken'!A61)&lt;10),'Dächer und Decken'!A61,"")</f>
        <v/>
      </c>
      <c r="B51" t="str">
        <f t="array" ref="B51">IF(ROWS(B$1:B51)&gt;SUMPRODUCT(--(A:A&lt;&gt;"")),"",INDEX(A:A,SMALL(IF(A$1:A$200&lt;&gt;"",ROW(A$1:A$200)),ROWS(B$1:B51))))</f>
        <v/>
      </c>
    </row>
    <row r="52" spans="1:2" x14ac:dyDescent="0.2">
      <c r="A52" t="str">
        <f>IF(AND('Dächer und Decken'!A62&lt;&gt;"",LEN('Dächer und Decken'!A62)&lt;10),'Dächer und Decken'!A62,"")</f>
        <v/>
      </c>
      <c r="B52" t="str">
        <f t="array" ref="B52">IF(ROWS(B$1:B52)&gt;SUMPRODUCT(--(A:A&lt;&gt;"")),"",INDEX(A:A,SMALL(IF(A$1:A$200&lt;&gt;"",ROW(A$1:A$200)),ROWS(B$1:B52))))</f>
        <v/>
      </c>
    </row>
    <row r="53" spans="1:2" x14ac:dyDescent="0.2">
      <c r="A53" t="str">
        <f>IF(AND('Dächer und Decken'!A63&lt;&gt;"",LEN('Dächer und Decken'!A63)&lt;10),'Dächer und Decken'!A63,"")</f>
        <v/>
      </c>
      <c r="B53" t="str">
        <f t="array" ref="B53">IF(ROWS(B$1:B53)&gt;SUMPRODUCT(--(A:A&lt;&gt;"")),"",INDEX(A:A,SMALL(IF(A$1:A$200&lt;&gt;"",ROW(A$1:A$200)),ROWS(B$1:B53))))</f>
        <v/>
      </c>
    </row>
    <row r="54" spans="1:2" x14ac:dyDescent="0.2">
      <c r="A54" t="str">
        <f>IF(AND('Dächer und Decken'!A64&lt;&gt;"",LEN('Dächer und Decken'!A64)&lt;10),'Dächer und Decken'!A64,"")</f>
        <v/>
      </c>
      <c r="B54" t="str">
        <f t="array" ref="B54">IF(ROWS(B$1:B54)&gt;SUMPRODUCT(--(A:A&lt;&gt;"")),"",INDEX(A:A,SMALL(IF(A$1:A$200&lt;&gt;"",ROW(A$1:A$200)),ROWS(B$1:B54))))</f>
        <v/>
      </c>
    </row>
    <row r="55" spans="1:2" x14ac:dyDescent="0.2">
      <c r="A55" t="str">
        <f>IF(AND('Dächer und Decken'!A65&lt;&gt;"",LEN('Dächer und Decken'!A65)&lt;10),'Dächer und Decken'!A65,"")</f>
        <v/>
      </c>
      <c r="B55" t="str">
        <f t="array" ref="B55">IF(ROWS(B$1:B55)&gt;SUMPRODUCT(--(A:A&lt;&gt;"")),"",INDEX(A:A,SMALL(IF(A$1:A$200&lt;&gt;"",ROW(A$1:A$200)),ROWS(B$1:B55))))</f>
        <v/>
      </c>
    </row>
    <row r="56" spans="1:2" x14ac:dyDescent="0.2">
      <c r="A56" t="str">
        <f>IF(AND('Dächer und Decken'!A66&lt;&gt;"",LEN('Dächer und Decken'!A66)&lt;10),'Dächer und Decken'!A66,"")</f>
        <v/>
      </c>
      <c r="B56" t="str">
        <f t="array" ref="B56">IF(ROWS(B$1:B56)&gt;SUMPRODUCT(--(A:A&lt;&gt;"")),"",INDEX(A:A,SMALL(IF(A$1:A$200&lt;&gt;"",ROW(A$1:A$200)),ROWS(B$1:B56))))</f>
        <v/>
      </c>
    </row>
    <row r="57" spans="1:2" x14ac:dyDescent="0.2">
      <c r="A57" t="str">
        <f>IF(AND('Dächer und Decken'!A67&lt;&gt;"",LEN('Dächer und Decken'!A67)&lt;10),'Dächer und Decken'!A67,"")</f>
        <v/>
      </c>
      <c r="B57" t="str">
        <f t="array" ref="B57">IF(ROWS(B$1:B57)&gt;SUMPRODUCT(--(A:A&lt;&gt;"")),"",INDEX(A:A,SMALL(IF(A$1:A$200&lt;&gt;"",ROW(A$1:A$200)),ROWS(B$1:B57))))</f>
        <v/>
      </c>
    </row>
    <row r="58" spans="1:2" x14ac:dyDescent="0.2">
      <c r="A58" t="str">
        <f>IF(AND('Dächer und Decken'!A68&lt;&gt;"",LEN('Dächer und Decken'!A68)&lt;10),'Dächer und Decken'!A68,"")</f>
        <v/>
      </c>
      <c r="B58" t="str">
        <f t="array" ref="B58">IF(ROWS(B$1:B58)&gt;SUMPRODUCT(--(A:A&lt;&gt;"")),"",INDEX(A:A,SMALL(IF(A$1:A$200&lt;&gt;"",ROW(A$1:A$200)),ROWS(B$1:B58))))</f>
        <v/>
      </c>
    </row>
    <row r="59" spans="1:2" x14ac:dyDescent="0.2">
      <c r="A59" t="str">
        <f>IF(AND('Dächer und Decken'!A69&lt;&gt;"",LEN('Dächer und Decken'!A69)&lt;10),'Dächer und Decken'!A69,"")</f>
        <v/>
      </c>
      <c r="B59" t="str">
        <f t="array" ref="B59">IF(ROWS(B$1:B59)&gt;SUMPRODUCT(--(A:A&lt;&gt;"")),"",INDEX(A:A,SMALL(IF(A$1:A$200&lt;&gt;"",ROW(A$1:A$200)),ROWS(B$1:B59))))</f>
        <v/>
      </c>
    </row>
    <row r="60" spans="1:2" x14ac:dyDescent="0.2">
      <c r="A60" t="str">
        <f>IF(AND('Dächer und Decken'!A70&lt;&gt;"",LEN('Dächer und Decken'!A70)&lt;10),'Dächer und Decken'!A70,"")</f>
        <v/>
      </c>
      <c r="B60" t="str">
        <f t="array" ref="B60">IF(ROWS(B$1:B60)&gt;SUMPRODUCT(--(A:A&lt;&gt;"")),"",INDEX(A:A,SMALL(IF(A$1:A$200&lt;&gt;"",ROW(A$1:A$200)),ROWS(B$1:B60))))</f>
        <v/>
      </c>
    </row>
    <row r="61" spans="1:2" x14ac:dyDescent="0.2">
      <c r="A61" t="str">
        <f>IF(AND('Dächer und Decken'!A71&lt;&gt;"",LEN('Dächer und Decken'!A71)&lt;10),'Dächer und Decken'!A71,"")</f>
        <v/>
      </c>
      <c r="B61" t="str">
        <f t="array" ref="B61">IF(ROWS(B$1:B61)&gt;SUMPRODUCT(--(A:A&lt;&gt;"")),"",INDEX(A:A,SMALL(IF(A$1:A$200&lt;&gt;"",ROW(A$1:A$200)),ROWS(B$1:B61))))</f>
        <v/>
      </c>
    </row>
    <row r="62" spans="1:2" x14ac:dyDescent="0.2">
      <c r="A62" t="str">
        <f>IF(AND('Dächer und Decken'!A72&lt;&gt;"",LEN('Dächer und Decken'!A72)&lt;10),'Dächer und Decken'!A72,"")</f>
        <v/>
      </c>
      <c r="B62" t="str">
        <f t="array" ref="B62">IF(ROWS(B$1:B62)&gt;SUMPRODUCT(--(A:A&lt;&gt;"")),"",INDEX(A:A,SMALL(IF(A$1:A$200&lt;&gt;"",ROW(A$1:A$200)),ROWS(B$1:B62))))</f>
        <v/>
      </c>
    </row>
    <row r="63" spans="1:2" x14ac:dyDescent="0.2">
      <c r="A63" t="str">
        <f>IF(AND('Dächer und Decken'!A73&lt;&gt;"",LEN('Dächer und Decken'!A73)&lt;10),'Dächer und Decken'!A73,"")</f>
        <v/>
      </c>
      <c r="B63" t="str">
        <f t="array" ref="B63">IF(ROWS(B$1:B63)&gt;SUMPRODUCT(--(A:A&lt;&gt;"")),"",INDEX(A:A,SMALL(IF(A$1:A$200&lt;&gt;"",ROW(A$1:A$200)),ROWS(B$1:B63))))</f>
        <v/>
      </c>
    </row>
    <row r="64" spans="1:2" x14ac:dyDescent="0.2">
      <c r="A64" t="str">
        <f>IF(AND('Dächer und Decken'!A74&lt;&gt;"",LEN('Dächer und Decken'!A74)&lt;10),'Dächer und Decken'!A74,"")</f>
        <v/>
      </c>
      <c r="B64" t="str">
        <f t="array" ref="B64">IF(ROWS(B$1:B64)&gt;SUMPRODUCT(--(A:A&lt;&gt;"")),"",INDEX(A:A,SMALL(IF(A$1:A$200&lt;&gt;"",ROW(A$1:A$200)),ROWS(B$1:B64))))</f>
        <v/>
      </c>
    </row>
    <row r="65" spans="1:2" x14ac:dyDescent="0.2">
      <c r="A65" t="str">
        <f>IF(AND('Dächer und Decken'!A75&lt;&gt;"",LEN('Dächer und Decken'!A75)&lt;10),'Dächer und Decken'!A75,"")</f>
        <v/>
      </c>
      <c r="B65" t="str">
        <f t="array" ref="B65">IF(ROWS(B$1:B65)&gt;SUMPRODUCT(--(A:A&lt;&gt;"")),"",INDEX(A:A,SMALL(IF(A$1:A$200&lt;&gt;"",ROW(A$1:A$200)),ROWS(B$1:B65))))</f>
        <v/>
      </c>
    </row>
    <row r="66" spans="1:2" x14ac:dyDescent="0.2">
      <c r="A66" t="str">
        <f>IF(AND('Dächer und Decken'!A76&lt;&gt;"",LEN('Dächer und Decken'!A76)&lt;10),'Dächer und Decken'!A76,"")</f>
        <v/>
      </c>
      <c r="B66" t="str">
        <f t="array" ref="B66">IF(ROWS(B$1:B66)&gt;SUMPRODUCT(--(A:A&lt;&gt;"")),"",INDEX(A:A,SMALL(IF(A$1:A$200&lt;&gt;"",ROW(A$1:A$200)),ROWS(B$1:B66))))</f>
        <v/>
      </c>
    </row>
    <row r="67" spans="1:2" x14ac:dyDescent="0.2">
      <c r="A67" t="str">
        <f>IF(AND('Dächer und Decken'!A77&lt;&gt;"",LEN('Dächer und Decken'!A77)&lt;10),'Dächer und Decken'!A77,"")</f>
        <v/>
      </c>
      <c r="B67" t="str">
        <f t="array" ref="B67">IF(ROWS(B$1:B67)&gt;SUMPRODUCT(--(A:A&lt;&gt;"")),"",INDEX(A:A,SMALL(IF(A$1:A$200&lt;&gt;"",ROW(A$1:A$200)),ROWS(B$1:B67))))</f>
        <v/>
      </c>
    </row>
    <row r="68" spans="1:2" x14ac:dyDescent="0.2">
      <c r="A68" t="str">
        <f>IF(AND('Dächer und Decken'!A78&lt;&gt;"",LEN('Dächer und Decken'!A78)&lt;10),'Dächer und Decken'!A78,"")</f>
        <v/>
      </c>
      <c r="B68" t="str">
        <f t="array" ref="B68">IF(ROWS(B$1:B68)&gt;SUMPRODUCT(--(A:A&lt;&gt;"")),"",INDEX(A:A,SMALL(IF(A$1:A$200&lt;&gt;"",ROW(A$1:A$200)),ROWS(B$1:B68))))</f>
        <v/>
      </c>
    </row>
    <row r="69" spans="1:2" x14ac:dyDescent="0.2">
      <c r="A69" t="str">
        <f>IF(AND('Dächer und Decken'!A79&lt;&gt;"",LEN('Dächer und Decken'!A79)&lt;10),'Dächer und Decken'!A79,"")</f>
        <v/>
      </c>
      <c r="B69" t="str">
        <f t="array" ref="B69">IF(ROWS(B$1:B69)&gt;SUMPRODUCT(--(A:A&lt;&gt;"")),"",INDEX(A:A,SMALL(IF(A$1:A$200&lt;&gt;"",ROW(A$1:A$200)),ROWS(B$1:B69))))</f>
        <v/>
      </c>
    </row>
    <row r="70" spans="1:2" x14ac:dyDescent="0.2">
      <c r="A70" t="str">
        <f>IF(AND('Dächer und Decken'!A80&lt;&gt;"",LEN('Dächer und Decken'!A80)&lt;10),'Dächer und Decken'!A80,"")</f>
        <v/>
      </c>
      <c r="B70" t="str">
        <f t="array" ref="B70">IF(ROWS(B$1:B70)&gt;SUMPRODUCT(--(A:A&lt;&gt;"")),"",INDEX(A:A,SMALL(IF(A$1:A$200&lt;&gt;"",ROW(A$1:A$200)),ROWS(B$1:B70))))</f>
        <v/>
      </c>
    </row>
    <row r="71" spans="1:2" x14ac:dyDescent="0.2">
      <c r="A71" t="str">
        <f>IF(AND('Dächer und Decken'!A81&lt;&gt;"",LEN('Dächer und Decken'!A81)&lt;10),'Dächer und Decken'!A81,"")</f>
        <v/>
      </c>
      <c r="B71" t="str">
        <f t="array" ref="B71">IF(ROWS(B$1:B71)&gt;SUMPRODUCT(--(A:A&lt;&gt;"")),"",INDEX(A:A,SMALL(IF(A$1:A$200&lt;&gt;"",ROW(A$1:A$200)),ROWS(B$1:B71))))</f>
        <v/>
      </c>
    </row>
    <row r="72" spans="1:2" x14ac:dyDescent="0.2">
      <c r="A72" t="str">
        <f>IF(AND('Dächer und Decken'!A82&lt;&gt;"",LEN('Dächer und Decken'!A82)&lt;10),'Dächer und Decken'!A82,"")</f>
        <v/>
      </c>
      <c r="B72" t="str">
        <f t="array" ref="B72">IF(ROWS(B$1:B72)&gt;SUMPRODUCT(--(A:A&lt;&gt;"")),"",INDEX(A:A,SMALL(IF(A$1:A$200&lt;&gt;"",ROW(A$1:A$200)),ROWS(B$1:B72))))</f>
        <v/>
      </c>
    </row>
    <row r="73" spans="1:2" x14ac:dyDescent="0.2">
      <c r="A73" t="str">
        <f>IF(AND('Dächer und Decken'!A83&lt;&gt;"",LEN('Dächer und Decken'!A83)&lt;10),'Dächer und Decken'!A83,"")</f>
        <v/>
      </c>
      <c r="B73" t="str">
        <f t="array" ref="B73">IF(ROWS(B$1:B73)&gt;SUMPRODUCT(--(A:A&lt;&gt;"")),"",INDEX(A:A,SMALL(IF(A$1:A$200&lt;&gt;"",ROW(A$1:A$200)),ROWS(B$1:B73))))</f>
        <v/>
      </c>
    </row>
    <row r="74" spans="1:2" x14ac:dyDescent="0.2">
      <c r="A74" t="str">
        <f>IF(AND('Dächer und Decken'!A84&lt;&gt;"",LEN('Dächer und Decken'!A84)&lt;10),'Dächer und Decken'!A84,"")</f>
        <v/>
      </c>
      <c r="B74" t="str">
        <f t="array" ref="B74">IF(ROWS(B$1:B74)&gt;SUMPRODUCT(--(A:A&lt;&gt;"")),"",INDEX(A:A,SMALL(IF(A$1:A$200&lt;&gt;"",ROW(A$1:A$200)),ROWS(B$1:B74))))</f>
        <v/>
      </c>
    </row>
    <row r="75" spans="1:2" x14ac:dyDescent="0.2">
      <c r="A75" t="str">
        <f>IF(AND('Dächer und Decken'!A85&lt;&gt;"",LEN('Dächer und Decken'!A85)&lt;10),'Dächer und Decken'!A85,"")</f>
        <v/>
      </c>
      <c r="B75" t="str">
        <f t="array" ref="B75">IF(ROWS(B$1:B75)&gt;SUMPRODUCT(--(A:A&lt;&gt;"")),"",INDEX(A:A,SMALL(IF(A$1:A$200&lt;&gt;"",ROW(A$1:A$200)),ROWS(B$1:B75))))</f>
        <v/>
      </c>
    </row>
    <row r="76" spans="1:2" x14ac:dyDescent="0.2">
      <c r="A76" t="str">
        <f>IF(AND('Dächer und Decken'!A86&lt;&gt;"",LEN('Dächer und Decken'!A86)&lt;10),'Dächer und Decken'!A86,"")</f>
        <v/>
      </c>
      <c r="B76" t="str">
        <f t="array" ref="B76">IF(ROWS(B$1:B76)&gt;SUMPRODUCT(--(A:A&lt;&gt;"")),"",INDEX(A:A,SMALL(IF(A$1:A$200&lt;&gt;"",ROW(A$1:A$200)),ROWS(B$1:B76))))</f>
        <v/>
      </c>
    </row>
    <row r="77" spans="1:2" x14ac:dyDescent="0.2">
      <c r="A77" t="str">
        <f>IF(AND('Dächer und Decken'!A87&lt;&gt;"",LEN('Dächer und Decken'!A87)&lt;10),'Dächer und Decken'!A87,"")</f>
        <v/>
      </c>
      <c r="B77" t="str">
        <f t="array" ref="B77">IF(ROWS(B$1:B77)&gt;SUMPRODUCT(--(A:A&lt;&gt;"")),"",INDEX(A:A,SMALL(IF(A$1:A$200&lt;&gt;"",ROW(A$1:A$200)),ROWS(B$1:B77))))</f>
        <v/>
      </c>
    </row>
    <row r="78" spans="1:2" x14ac:dyDescent="0.2">
      <c r="A78" t="str">
        <f>IF(AND('Dächer und Decken'!A88&lt;&gt;"",LEN('Dächer und Decken'!A88)&lt;10),'Dächer und Decken'!A88,"")</f>
        <v/>
      </c>
      <c r="B78" t="str">
        <f t="array" ref="B78">IF(ROWS(B$1:B78)&gt;SUMPRODUCT(--(A:A&lt;&gt;"")),"",INDEX(A:A,SMALL(IF(A$1:A$200&lt;&gt;"",ROW(A$1:A$200)),ROWS(B$1:B78))))</f>
        <v/>
      </c>
    </row>
    <row r="79" spans="1:2" x14ac:dyDescent="0.2">
      <c r="A79" t="str">
        <f>IF(AND('Dächer und Decken'!A89&lt;&gt;"",LEN('Dächer und Decken'!A89)&lt;10),'Dächer und Decken'!A89,"")</f>
        <v/>
      </c>
      <c r="B79" t="str">
        <f t="array" ref="B79">IF(ROWS(B$1:B79)&gt;SUMPRODUCT(--(A:A&lt;&gt;"")),"",INDEX(A:A,SMALL(IF(A$1:A$200&lt;&gt;"",ROW(A$1:A$200)),ROWS(B$1:B79))))</f>
        <v/>
      </c>
    </row>
    <row r="80" spans="1:2" x14ac:dyDescent="0.2">
      <c r="A80" t="str">
        <f>IF(AND('Dächer und Decken'!A90&lt;&gt;"",LEN('Dächer und Decken'!A90)&lt;10),'Dächer und Decken'!A90,"")</f>
        <v/>
      </c>
      <c r="B80" t="str">
        <f t="array" ref="B80">IF(ROWS(B$1:B80)&gt;SUMPRODUCT(--(A:A&lt;&gt;"")),"",INDEX(A:A,SMALL(IF(A$1:A$200&lt;&gt;"",ROW(A$1:A$200)),ROWS(B$1:B80))))</f>
        <v/>
      </c>
    </row>
    <row r="81" spans="1:2" x14ac:dyDescent="0.2">
      <c r="A81" t="str">
        <f>IF(AND('Dächer und Decken'!A91&lt;&gt;"",LEN('Dächer und Decken'!A91)&lt;10),'Dächer und Decken'!A91,"")</f>
        <v/>
      </c>
      <c r="B81" t="str">
        <f t="array" ref="B81">IF(ROWS(B$1:B81)&gt;SUMPRODUCT(--(A:A&lt;&gt;"")),"",INDEX(A:A,SMALL(IF(A$1:A$200&lt;&gt;"",ROW(A$1:A$200)),ROWS(B$1:B81))))</f>
        <v/>
      </c>
    </row>
    <row r="82" spans="1:2" x14ac:dyDescent="0.2">
      <c r="A82" t="str">
        <f>IF(AND('Dächer und Decken'!A92&lt;&gt;"",LEN('Dächer und Decken'!A92)&lt;10),'Dächer und Decken'!A92,"")</f>
        <v/>
      </c>
      <c r="B82" t="str">
        <f t="array" ref="B82">IF(ROWS(B$1:B82)&gt;SUMPRODUCT(--(A:A&lt;&gt;"")),"",INDEX(A:A,SMALL(IF(A$1:A$200&lt;&gt;"",ROW(A$1:A$200)),ROWS(B$1:B82))))</f>
        <v/>
      </c>
    </row>
    <row r="83" spans="1:2" x14ac:dyDescent="0.2">
      <c r="A83" t="str">
        <f>IF(AND('Dächer und Decken'!A93&lt;&gt;"",LEN('Dächer und Decken'!A93)&lt;10),'Dächer und Decken'!A93,"")</f>
        <v/>
      </c>
      <c r="B83" t="str">
        <f t="array" ref="B83">IF(ROWS(B$1:B83)&gt;SUMPRODUCT(--(A:A&lt;&gt;"")),"",INDEX(A:A,SMALL(IF(A$1:A$200&lt;&gt;"",ROW(A$1:A$200)),ROWS(B$1:B83))))</f>
        <v/>
      </c>
    </row>
    <row r="84" spans="1:2" x14ac:dyDescent="0.2">
      <c r="A84" t="str">
        <f>IF(AND('Dächer und Decken'!A94&lt;&gt;"",LEN('Dächer und Decken'!A94)&lt;10),'Dächer und Decken'!A94,"")</f>
        <v/>
      </c>
      <c r="B84" t="str">
        <f t="array" ref="B84">IF(ROWS(B$1:B84)&gt;SUMPRODUCT(--(A:A&lt;&gt;"")),"",INDEX(A:A,SMALL(IF(A$1:A$200&lt;&gt;"",ROW(A$1:A$200)),ROWS(B$1:B84))))</f>
        <v/>
      </c>
    </row>
    <row r="85" spans="1:2" x14ac:dyDescent="0.2">
      <c r="A85" t="str">
        <f>IF(AND('Dächer und Decken'!A95&lt;&gt;"",LEN('Dächer und Decken'!A95)&lt;10),'Dächer und Decken'!A95,"")</f>
        <v/>
      </c>
      <c r="B85" t="str">
        <f t="array" ref="B85">IF(ROWS(B$1:B85)&gt;SUMPRODUCT(--(A:A&lt;&gt;"")),"",INDEX(A:A,SMALL(IF(A$1:A$200&lt;&gt;"",ROW(A$1:A$200)),ROWS(B$1:B85))))</f>
        <v/>
      </c>
    </row>
    <row r="86" spans="1:2" x14ac:dyDescent="0.2">
      <c r="A86" t="str">
        <f>IF(AND('Dächer und Decken'!A96&lt;&gt;"",LEN('Dächer und Decken'!A96)&lt;10),'Dächer und Decken'!A96,"")</f>
        <v/>
      </c>
      <c r="B86" t="str">
        <f t="array" ref="B86">IF(ROWS(B$1:B86)&gt;SUMPRODUCT(--(A:A&lt;&gt;"")),"",INDEX(A:A,SMALL(IF(A$1:A$200&lt;&gt;"",ROW(A$1:A$200)),ROWS(B$1:B86))))</f>
        <v/>
      </c>
    </row>
    <row r="87" spans="1:2" x14ac:dyDescent="0.2">
      <c r="A87" t="str">
        <f>IF(AND('Dächer und Decken'!A97&lt;&gt;"",LEN('Dächer und Decken'!A97)&lt;10),'Dächer und Decken'!A97,"")</f>
        <v/>
      </c>
      <c r="B87" t="str">
        <f t="array" ref="B87">IF(ROWS(B$1:B87)&gt;SUMPRODUCT(--(A:A&lt;&gt;"")),"",INDEX(A:A,SMALL(IF(A$1:A$200&lt;&gt;"",ROW(A$1:A$200)),ROWS(B$1:B87))))</f>
        <v/>
      </c>
    </row>
    <row r="88" spans="1:2" x14ac:dyDescent="0.2">
      <c r="A88" t="str">
        <f>IF(AND('Dächer und Decken'!A98&lt;&gt;"",LEN('Dächer und Decken'!A98)&lt;10),'Dächer und Decken'!A98,"")</f>
        <v/>
      </c>
      <c r="B88" t="str">
        <f t="array" ref="B88">IF(ROWS(B$1:B88)&gt;SUMPRODUCT(--(A:A&lt;&gt;"")),"",INDEX(A:A,SMALL(IF(A$1:A$200&lt;&gt;"",ROW(A$1:A$200)),ROWS(B$1:B88))))</f>
        <v/>
      </c>
    </row>
    <row r="89" spans="1:2" x14ac:dyDescent="0.2">
      <c r="A89" t="str">
        <f>IF(AND('Dächer und Decken'!A99&lt;&gt;"",LEN('Dächer und Decken'!A99)&lt;10),'Dächer und Decken'!A99,"")</f>
        <v/>
      </c>
      <c r="B89" t="str">
        <f t="array" ref="B89">IF(ROWS(B$1:B89)&gt;SUMPRODUCT(--(A:A&lt;&gt;"")),"",INDEX(A:A,SMALL(IF(A$1:A$200&lt;&gt;"",ROW(A$1:A$200)),ROWS(B$1:B89))))</f>
        <v/>
      </c>
    </row>
    <row r="90" spans="1:2" x14ac:dyDescent="0.2">
      <c r="A90" t="str">
        <f>IF(AND('Dächer und Decken'!A100&lt;&gt;"",LEN('Dächer und Decken'!A100)&lt;10),'Dächer und Decken'!A100,"")</f>
        <v/>
      </c>
      <c r="B90" t="str">
        <f t="array" ref="B90">IF(ROWS(B$1:B90)&gt;SUMPRODUCT(--(A:A&lt;&gt;"")),"",INDEX(A:A,SMALL(IF(A$1:A$200&lt;&gt;"",ROW(A$1:A$200)),ROWS(B$1:B90))))</f>
        <v/>
      </c>
    </row>
    <row r="91" spans="1:2" x14ac:dyDescent="0.2">
      <c r="A91" t="str">
        <f>IF(AND('Dächer und Decken'!A101&lt;&gt;"",LEN('Dächer und Decken'!A101)&lt;10),'Dächer und Decken'!A101,"")</f>
        <v/>
      </c>
      <c r="B91" t="str">
        <f t="array" ref="B91">IF(ROWS(B$1:B91)&gt;SUMPRODUCT(--(A:A&lt;&gt;"")),"",INDEX(A:A,SMALL(IF(A$1:A$200&lt;&gt;"",ROW(A$1:A$200)),ROWS(B$1:B91))))</f>
        <v/>
      </c>
    </row>
    <row r="92" spans="1:2" x14ac:dyDescent="0.2">
      <c r="A92" t="str">
        <f>IF(AND('Dächer und Decken'!A102&lt;&gt;"",LEN('Dächer und Decken'!A102)&lt;10),'Dächer und Decken'!A102,"")</f>
        <v/>
      </c>
      <c r="B92" t="str">
        <f t="array" ref="B92">IF(ROWS(B$1:B92)&gt;SUMPRODUCT(--(A:A&lt;&gt;"")),"",INDEX(A:A,SMALL(IF(A$1:A$200&lt;&gt;"",ROW(A$1:A$200)),ROWS(B$1:B92))))</f>
        <v/>
      </c>
    </row>
    <row r="93" spans="1:2" x14ac:dyDescent="0.2">
      <c r="A93" t="str">
        <f>IF(AND('Dächer und Decken'!A103&lt;&gt;"",LEN('Dächer und Decken'!A103)&lt;10),'Dächer und Decken'!A103,"")</f>
        <v/>
      </c>
      <c r="B93" t="str">
        <f t="array" ref="B93">IF(ROWS(B$1:B93)&gt;SUMPRODUCT(--(A:A&lt;&gt;"")),"",INDEX(A:A,SMALL(IF(A$1:A$200&lt;&gt;"",ROW(A$1:A$200)),ROWS(B$1:B93))))</f>
        <v/>
      </c>
    </row>
    <row r="94" spans="1:2" x14ac:dyDescent="0.2">
      <c r="A94" t="str">
        <f>IF(AND('Dächer und Decken'!A104&lt;&gt;"",LEN('Dächer und Decken'!A104)&lt;10),'Dächer und Decken'!A104,"")</f>
        <v/>
      </c>
      <c r="B94" t="str">
        <f t="array" ref="B94">IF(ROWS(B$1:B94)&gt;SUMPRODUCT(--(A:A&lt;&gt;"")),"",INDEX(A:A,SMALL(IF(A$1:A$200&lt;&gt;"",ROW(A$1:A$200)),ROWS(B$1:B94))))</f>
        <v/>
      </c>
    </row>
    <row r="95" spans="1:2" x14ac:dyDescent="0.2">
      <c r="A95" t="str">
        <f>IF(AND('Dächer und Decken'!A105&lt;&gt;"",LEN('Dächer und Decken'!A105)&lt;10),'Dächer und Decken'!A105,"")</f>
        <v/>
      </c>
      <c r="B95" t="str">
        <f t="array" ref="B95">IF(ROWS(B$1:B95)&gt;SUMPRODUCT(--(A:A&lt;&gt;"")),"",INDEX(A:A,SMALL(IF(A$1:A$200&lt;&gt;"",ROW(A$1:A$200)),ROWS(B$1:B95))))</f>
        <v/>
      </c>
    </row>
    <row r="96" spans="1:2" x14ac:dyDescent="0.2">
      <c r="A96" t="str">
        <f>IF(AND('Dächer und Decken'!A106&lt;&gt;"",LEN('Dächer und Decken'!A106)&lt;10),'Dächer und Decken'!A106,"")</f>
        <v/>
      </c>
      <c r="B96" t="str">
        <f t="array" ref="B96">IF(ROWS(B$1:B96)&gt;SUMPRODUCT(--(A:A&lt;&gt;"")),"",INDEX(A:A,SMALL(IF(A$1:A$200&lt;&gt;"",ROW(A$1:A$200)),ROWS(B$1:B96))))</f>
        <v/>
      </c>
    </row>
    <row r="97" spans="1:2" x14ac:dyDescent="0.2">
      <c r="A97" t="str">
        <f>IF(AND('Dächer und Decken'!A107&lt;&gt;"",LEN('Dächer und Decken'!A107)&lt;10),'Dächer und Decken'!A107,"")</f>
        <v/>
      </c>
      <c r="B97" t="str">
        <f t="array" ref="B97">IF(ROWS(B$1:B97)&gt;SUMPRODUCT(--(A:A&lt;&gt;"")),"",INDEX(A:A,SMALL(IF(A$1:A$200&lt;&gt;"",ROW(A$1:A$200)),ROWS(B$1:B97))))</f>
        <v/>
      </c>
    </row>
    <row r="98" spans="1:2" x14ac:dyDescent="0.2">
      <c r="A98" t="str">
        <f>IF(AND('Dächer und Decken'!A108&lt;&gt;"",LEN('Dächer und Decken'!A108)&lt;10),'Dächer und Decken'!A108,"")</f>
        <v/>
      </c>
      <c r="B98" t="str">
        <f t="array" ref="B98">IF(ROWS(B$1:B98)&gt;SUMPRODUCT(--(A:A&lt;&gt;"")),"",INDEX(A:A,SMALL(IF(A$1:A$200&lt;&gt;"",ROW(A$1:A$200)),ROWS(B$1:B98))))</f>
        <v/>
      </c>
    </row>
    <row r="99" spans="1:2" x14ac:dyDescent="0.2">
      <c r="A99" t="str">
        <f>IF(AND('Dächer und Decken'!A109&lt;&gt;"",LEN('Dächer und Decken'!A109)&lt;10),'Dächer und Decken'!A109,"")</f>
        <v/>
      </c>
      <c r="B99" t="str">
        <f t="array" ref="B99">IF(ROWS(B$1:B99)&gt;SUMPRODUCT(--(A:A&lt;&gt;"")),"",INDEX(A:A,SMALL(IF(A$1:A$200&lt;&gt;"",ROW(A$1:A$200)),ROWS(B$1:B99))))</f>
        <v/>
      </c>
    </row>
    <row r="100" spans="1:2" s="28" customFormat="1" ht="16" thickBot="1" x14ac:dyDescent="0.25">
      <c r="A100" t="str">
        <f>IF(AND('Dächer und Decken'!A110&lt;&gt;"",LEN('Dächer und Decken'!A110)&lt;10),'Dächer und Decken'!A110,"")</f>
        <v/>
      </c>
      <c r="B100" t="str">
        <f t="array" ref="B100">IF(ROWS(B$1:B100)&gt;SUMPRODUCT(--(A:A&lt;&gt;"")),"",INDEX(A:A,SMALL(IF(A$1:A$200&lt;&gt;"",ROW(A$1:A$200)),ROWS(B$1:B100))))</f>
        <v/>
      </c>
    </row>
    <row r="101" spans="1:2" ht="16" thickTop="1" x14ac:dyDescent="0.2">
      <c r="A101" t="str">
        <f>IF(AND(Wände!A11&lt;&gt;"",LEN(Wände!A11)&lt;10),Wände!A11,"")</f>
        <v/>
      </c>
      <c r="B101" t="str">
        <f t="array" ref="B101">IF(ROWS(B$1:B101)&gt;SUMPRODUCT(--(A:A&lt;&gt;"")),"",INDEX(A:A,SMALL(IF(A$1:A$200&lt;&gt;"",ROW(A$1:A$200)),ROWS(B$1:B101))))</f>
        <v/>
      </c>
    </row>
    <row r="102" spans="1:2" x14ac:dyDescent="0.2">
      <c r="A102" t="str">
        <f>IF(AND(Wände!A12&lt;&gt;"",LEN(Wände!A12)&lt;10),Wände!A12,"")</f>
        <v/>
      </c>
      <c r="B102" t="str">
        <f t="array" ref="B102">IF(ROWS(B$1:B102)&gt;SUMPRODUCT(--(A:A&lt;&gt;"")),"",INDEX(A:A,SMALL(IF(A$1:A$200&lt;&gt;"",ROW(A$1:A$200)),ROWS(B$1:B102))))</f>
        <v/>
      </c>
    </row>
    <row r="103" spans="1:2" x14ac:dyDescent="0.2">
      <c r="A103" t="str">
        <f>IF(AND(Wände!A13&lt;&gt;"",LEN(Wände!A13)&lt;10),Wände!A13,"")</f>
        <v/>
      </c>
      <c r="B103" t="str">
        <f t="array" ref="B103">IF(ROWS(B$1:B103)&gt;SUMPRODUCT(--(A:A&lt;&gt;"")),"",INDEX(A:A,SMALL(IF(A$1:A$200&lt;&gt;"",ROW(A$1:A$200)),ROWS(B$1:B103))))</f>
        <v/>
      </c>
    </row>
    <row r="104" spans="1:2" x14ac:dyDescent="0.2">
      <c r="A104" t="str">
        <f>IF(AND(Wände!A14&lt;&gt;"",LEN(Wände!A14)&lt;10),Wände!A14,"")</f>
        <v/>
      </c>
      <c r="B104" t="str">
        <f t="array" ref="B104">IF(ROWS(B$1:B104)&gt;SUMPRODUCT(--(A:A&lt;&gt;"")),"",INDEX(A:A,SMALL(IF(A$1:A$200&lt;&gt;"",ROW(A$1:A$200)),ROWS(B$1:B104))))</f>
        <v/>
      </c>
    </row>
    <row r="105" spans="1:2" x14ac:dyDescent="0.2">
      <c r="A105" t="str">
        <f>IF(AND(Wände!A15&lt;&gt;"",LEN(Wände!A15)&lt;10),Wände!A15,"")</f>
        <v/>
      </c>
      <c r="B105" t="str">
        <f t="array" ref="B105">IF(ROWS(B$1:B105)&gt;SUMPRODUCT(--(A:A&lt;&gt;"")),"",INDEX(A:A,SMALL(IF(A$1:A$200&lt;&gt;"",ROW(A$1:A$200)),ROWS(B$1:B105))))</f>
        <v/>
      </c>
    </row>
    <row r="106" spans="1:2" x14ac:dyDescent="0.2">
      <c r="A106" t="str">
        <f>IF(AND(Wände!A16&lt;&gt;"",LEN(Wände!A16)&lt;10),Wände!A16,"")</f>
        <v/>
      </c>
      <c r="B106" t="str">
        <f t="array" ref="B106">IF(ROWS(B$1:B106)&gt;SUMPRODUCT(--(A:A&lt;&gt;"")),"",INDEX(A:A,SMALL(IF(A$1:A$200&lt;&gt;"",ROW(A$1:A$200)),ROWS(B$1:B106))))</f>
        <v/>
      </c>
    </row>
    <row r="107" spans="1:2" x14ac:dyDescent="0.2">
      <c r="A107" t="str">
        <f>IF(AND(Wände!A17&lt;&gt;"",LEN(Wände!A17)&lt;10),Wände!A17,"")</f>
        <v/>
      </c>
      <c r="B107" t="str">
        <f t="array" ref="B107">IF(ROWS(B$1:B107)&gt;SUMPRODUCT(--(A:A&lt;&gt;"")),"",INDEX(A:A,SMALL(IF(A$1:A$200&lt;&gt;"",ROW(A$1:A$200)),ROWS(B$1:B107))))</f>
        <v/>
      </c>
    </row>
    <row r="108" spans="1:2" x14ac:dyDescent="0.2">
      <c r="A108" t="str">
        <f>IF(AND(Wände!A18&lt;&gt;"",LEN(Wände!A18)&lt;10),Wände!A18,"")</f>
        <v/>
      </c>
      <c r="B108" t="str">
        <f t="array" ref="B108">IF(ROWS(B$1:B108)&gt;SUMPRODUCT(--(A:A&lt;&gt;"")),"",INDEX(A:A,SMALL(IF(A$1:A$200&lt;&gt;"",ROW(A$1:A$200)),ROWS(B$1:B108))))</f>
        <v/>
      </c>
    </row>
    <row r="109" spans="1:2" x14ac:dyDescent="0.2">
      <c r="A109" t="str">
        <f>IF(AND(Wände!A19&lt;&gt;"",LEN(Wände!A19)&lt;10),Wände!A19,"")</f>
        <v/>
      </c>
      <c r="B109" t="str">
        <f t="array" ref="B109">IF(ROWS(B$1:B109)&gt;SUMPRODUCT(--(A:A&lt;&gt;"")),"",INDEX(A:A,SMALL(IF(A$1:A$200&lt;&gt;"",ROW(A$1:A$200)),ROWS(B$1:B109))))</f>
        <v/>
      </c>
    </row>
    <row r="110" spans="1:2" x14ac:dyDescent="0.2">
      <c r="A110" t="str">
        <f>IF(AND(Wände!A20&lt;&gt;"",LEN(Wände!A20)&lt;10),Wände!A20,"")</f>
        <v/>
      </c>
      <c r="B110" t="str">
        <f t="array" ref="B110">IF(ROWS(B$1:B110)&gt;SUMPRODUCT(--(A:A&lt;&gt;"")),"",INDEX(A:A,SMALL(IF(A$1:A$200&lt;&gt;"",ROW(A$1:A$200)),ROWS(B$1:B110))))</f>
        <v/>
      </c>
    </row>
    <row r="111" spans="1:2" x14ac:dyDescent="0.2">
      <c r="A111" t="str">
        <f>IF(AND(Wände!A21&lt;&gt;"",LEN(Wände!A21)&lt;10),Wände!A21,"")</f>
        <v/>
      </c>
      <c r="B111" t="str">
        <f t="array" ref="B111">IF(ROWS(B$1:B111)&gt;SUMPRODUCT(--(A:A&lt;&gt;"")),"",INDEX(A:A,SMALL(IF(A$1:A$200&lt;&gt;"",ROW(A$1:A$200)),ROWS(B$1:B111))))</f>
        <v/>
      </c>
    </row>
    <row r="112" spans="1:2" x14ac:dyDescent="0.2">
      <c r="A112" t="str">
        <f>IF(AND(Wände!A22&lt;&gt;"",LEN(Wände!A22)&lt;10),Wände!A22,"")</f>
        <v/>
      </c>
      <c r="B112" t="str">
        <f t="array" ref="B112">IF(ROWS(B$1:B112)&gt;SUMPRODUCT(--(A:A&lt;&gt;"")),"",INDEX(A:A,SMALL(IF(A$1:A$200&lt;&gt;"",ROW(A$1:A$200)),ROWS(B$1:B112))))</f>
        <v/>
      </c>
    </row>
    <row r="113" spans="1:2" x14ac:dyDescent="0.2">
      <c r="A113" t="str">
        <f>IF(AND(Wände!A23&lt;&gt;"",LEN(Wände!A23)&lt;10),Wände!A23,"")</f>
        <v/>
      </c>
      <c r="B113" t="str">
        <f t="array" ref="B113">IF(ROWS(B$1:B113)&gt;SUMPRODUCT(--(A:A&lt;&gt;"")),"",INDEX(A:A,SMALL(IF(A$1:A$200&lt;&gt;"",ROW(A$1:A$200)),ROWS(B$1:B113))))</f>
        <v/>
      </c>
    </row>
    <row r="114" spans="1:2" x14ac:dyDescent="0.2">
      <c r="A114" t="str">
        <f>IF(AND(Wände!A24&lt;&gt;"",LEN(Wände!A24)&lt;10),Wände!A24,"")</f>
        <v/>
      </c>
      <c r="B114" t="str">
        <f t="array" ref="B114">IF(ROWS(B$1:B114)&gt;SUMPRODUCT(--(A:A&lt;&gt;"")),"",INDEX(A:A,SMALL(IF(A$1:A$200&lt;&gt;"",ROW(A$1:A$200)),ROWS(B$1:B114))))</f>
        <v/>
      </c>
    </row>
    <row r="115" spans="1:2" x14ac:dyDescent="0.2">
      <c r="A115" t="str">
        <f>IF(AND(Wände!A25&lt;&gt;"",LEN(Wände!A25)&lt;10),Wände!A25,"")</f>
        <v/>
      </c>
      <c r="B115" t="str">
        <f t="array" ref="B115">IF(ROWS(B$1:B115)&gt;SUMPRODUCT(--(A:A&lt;&gt;"")),"",INDEX(A:A,SMALL(IF(A$1:A$200&lt;&gt;"",ROW(A$1:A$200)),ROWS(B$1:B115))))</f>
        <v/>
      </c>
    </row>
    <row r="116" spans="1:2" x14ac:dyDescent="0.2">
      <c r="A116" t="str">
        <f>IF(AND(Wände!A26&lt;&gt;"",LEN(Wände!A26)&lt;10),Wände!A26,"")</f>
        <v/>
      </c>
      <c r="B116" t="str">
        <f t="array" ref="B116">IF(ROWS(B$1:B116)&gt;SUMPRODUCT(--(A:A&lt;&gt;"")),"",INDEX(A:A,SMALL(IF(A$1:A$200&lt;&gt;"",ROW(A$1:A$200)),ROWS(B$1:B116))))</f>
        <v/>
      </c>
    </row>
    <row r="117" spans="1:2" x14ac:dyDescent="0.2">
      <c r="A117" t="str">
        <f>IF(AND(Wände!A27&lt;&gt;"",LEN(Wände!A27)&lt;10),Wände!A27,"")</f>
        <v/>
      </c>
      <c r="B117" t="str">
        <f t="array" ref="B117">IF(ROWS(B$1:B117)&gt;SUMPRODUCT(--(A:A&lt;&gt;"")),"",INDEX(A:A,SMALL(IF(A$1:A$200&lt;&gt;"",ROW(A$1:A$200)),ROWS(B$1:B117))))</f>
        <v/>
      </c>
    </row>
    <row r="118" spans="1:2" x14ac:dyDescent="0.2">
      <c r="A118" t="str">
        <f>IF(AND(Wände!A28&lt;&gt;"",LEN(Wände!A28)&lt;10),Wände!A28,"")</f>
        <v/>
      </c>
      <c r="B118" t="str">
        <f t="array" ref="B118">IF(ROWS(B$1:B118)&gt;SUMPRODUCT(--(A:A&lt;&gt;"")),"",INDEX(A:A,SMALL(IF(A$1:A$200&lt;&gt;"",ROW(A$1:A$200)),ROWS(B$1:B118))))</f>
        <v/>
      </c>
    </row>
    <row r="119" spans="1:2" x14ac:dyDescent="0.2">
      <c r="A119" t="str">
        <f>IF(AND(Wände!A29&lt;&gt;"",LEN(Wände!A29)&lt;10),Wände!A29,"")</f>
        <v/>
      </c>
      <c r="B119" t="str">
        <f t="array" ref="B119">IF(ROWS(B$1:B119)&gt;SUMPRODUCT(--(A:A&lt;&gt;"")),"",INDEX(A:A,SMALL(IF(A$1:A$200&lt;&gt;"",ROW(A$1:A$200)),ROWS(B$1:B119))))</f>
        <v/>
      </c>
    </row>
    <row r="120" spans="1:2" x14ac:dyDescent="0.2">
      <c r="A120" t="str">
        <f>IF(AND(Wände!A30&lt;&gt;"",LEN(Wände!A30)&lt;10),Wände!A30,"")</f>
        <v/>
      </c>
      <c r="B120" t="str">
        <f t="array" ref="B120">IF(ROWS(B$1:B120)&gt;SUMPRODUCT(--(A:A&lt;&gt;"")),"",INDEX(A:A,SMALL(IF(A$1:A$200&lt;&gt;"",ROW(A$1:A$200)),ROWS(B$1:B120))))</f>
        <v/>
      </c>
    </row>
    <row r="121" spans="1:2" x14ac:dyDescent="0.2">
      <c r="A121" t="str">
        <f>IF(AND(Wände!A31&lt;&gt;"",LEN(Wände!A31)&lt;10),Wände!A31,"")</f>
        <v/>
      </c>
      <c r="B121" t="str">
        <f t="array" ref="B121">IF(ROWS(B$1:B121)&gt;SUMPRODUCT(--(A:A&lt;&gt;"")),"",INDEX(A:A,SMALL(IF(A$1:A$200&lt;&gt;"",ROW(A$1:A$200)),ROWS(B$1:B121))))</f>
        <v/>
      </c>
    </row>
    <row r="122" spans="1:2" x14ac:dyDescent="0.2">
      <c r="A122" t="str">
        <f>IF(AND(Wände!A32&lt;&gt;"",LEN(Wände!A32)&lt;10),Wände!A32,"")</f>
        <v/>
      </c>
      <c r="B122" t="str">
        <f t="array" ref="B122">IF(ROWS(B$1:B122)&gt;SUMPRODUCT(--(A:A&lt;&gt;"")),"",INDEX(A:A,SMALL(IF(A$1:A$200&lt;&gt;"",ROW(A$1:A$200)),ROWS(B$1:B122))))</f>
        <v/>
      </c>
    </row>
    <row r="123" spans="1:2" x14ac:dyDescent="0.2">
      <c r="A123" t="str">
        <f>IF(AND(Wände!A33&lt;&gt;"",LEN(Wände!A33)&lt;10),Wände!A33,"")</f>
        <v/>
      </c>
      <c r="B123" t="str">
        <f t="array" ref="B123">IF(ROWS(B$1:B123)&gt;SUMPRODUCT(--(A:A&lt;&gt;"")),"",INDEX(A:A,SMALL(IF(A$1:A$200&lt;&gt;"",ROW(A$1:A$200)),ROWS(B$1:B123))))</f>
        <v/>
      </c>
    </row>
    <row r="124" spans="1:2" x14ac:dyDescent="0.2">
      <c r="A124" t="str">
        <f>IF(AND(Wände!A34&lt;&gt;"",LEN(Wände!A34)&lt;10),Wände!A34,"")</f>
        <v/>
      </c>
      <c r="B124" t="str">
        <f t="array" ref="B124">IF(ROWS(B$1:B124)&gt;SUMPRODUCT(--(A:A&lt;&gt;"")),"",INDEX(A:A,SMALL(IF(A$1:A$200&lt;&gt;"",ROW(A$1:A$200)),ROWS(B$1:B124))))</f>
        <v/>
      </c>
    </row>
    <row r="125" spans="1:2" x14ac:dyDescent="0.2">
      <c r="A125" t="str">
        <f>IF(AND(Wände!A35&lt;&gt;"",LEN(Wände!A35)&lt;10),Wände!A35,"")</f>
        <v/>
      </c>
      <c r="B125" t="str">
        <f t="array" ref="B125">IF(ROWS(B$1:B125)&gt;SUMPRODUCT(--(A:A&lt;&gt;"")),"",INDEX(A:A,SMALL(IF(A$1:A$200&lt;&gt;"",ROW(A$1:A$200)),ROWS(B$1:B125))))</f>
        <v/>
      </c>
    </row>
    <row r="126" spans="1:2" x14ac:dyDescent="0.2">
      <c r="A126" t="str">
        <f>IF(AND(Wände!A36&lt;&gt;"",LEN(Wände!A36)&lt;10),Wände!A36,"")</f>
        <v/>
      </c>
      <c r="B126" t="str">
        <f t="array" ref="B126">IF(ROWS(B$1:B126)&gt;SUMPRODUCT(--(A:A&lt;&gt;"")),"",INDEX(A:A,SMALL(IF(A$1:A$200&lt;&gt;"",ROW(A$1:A$200)),ROWS(B$1:B126))))</f>
        <v/>
      </c>
    </row>
    <row r="127" spans="1:2" x14ac:dyDescent="0.2">
      <c r="A127" t="str">
        <f>IF(AND(Wände!A37&lt;&gt;"",LEN(Wände!A37)&lt;10),Wände!A37,"")</f>
        <v/>
      </c>
      <c r="B127" t="str">
        <f t="array" ref="B127">IF(ROWS(B$1:B127)&gt;SUMPRODUCT(--(A:A&lt;&gt;"")),"",INDEX(A:A,SMALL(IF(A$1:A$200&lt;&gt;"",ROW(A$1:A$200)),ROWS(B$1:B127))))</f>
        <v/>
      </c>
    </row>
    <row r="128" spans="1:2" x14ac:dyDescent="0.2">
      <c r="A128" t="str">
        <f>IF(AND(Wände!A38&lt;&gt;"",LEN(Wände!A38)&lt;10),Wände!A38,"")</f>
        <v/>
      </c>
      <c r="B128" t="str">
        <f t="array" ref="B128">IF(ROWS(B$1:B128)&gt;SUMPRODUCT(--(A:A&lt;&gt;"")),"",INDEX(A:A,SMALL(IF(A$1:A$200&lt;&gt;"",ROW(A$1:A$200)),ROWS(B$1:B128))))</f>
        <v/>
      </c>
    </row>
    <row r="129" spans="1:2" x14ac:dyDescent="0.2">
      <c r="A129" t="str">
        <f>IF(AND(Wände!A39&lt;&gt;"",LEN(Wände!A39)&lt;10),Wände!A39,"")</f>
        <v/>
      </c>
      <c r="B129" t="str">
        <f t="array" ref="B129">IF(ROWS(B$1:B129)&gt;SUMPRODUCT(--(A:A&lt;&gt;"")),"",INDEX(A:A,SMALL(IF(A$1:A$200&lt;&gt;"",ROW(A$1:A$200)),ROWS(B$1:B129))))</f>
        <v/>
      </c>
    </row>
    <row r="130" spans="1:2" x14ac:dyDescent="0.2">
      <c r="A130" t="str">
        <f>IF(AND(Wände!A40&lt;&gt;"",LEN(Wände!A40)&lt;10),Wände!A40,"")</f>
        <v/>
      </c>
      <c r="B130" t="str">
        <f t="array" ref="B130">IF(ROWS(B$1:B130)&gt;SUMPRODUCT(--(A:A&lt;&gt;"")),"",INDEX(A:A,SMALL(IF(A$1:A$200&lt;&gt;"",ROW(A$1:A$200)),ROWS(B$1:B130))))</f>
        <v/>
      </c>
    </row>
    <row r="131" spans="1:2" x14ac:dyDescent="0.2">
      <c r="A131" t="str">
        <f>IF(AND(Wände!A41&lt;&gt;"",LEN(Wände!A41)&lt;10),Wände!A41,"")</f>
        <v/>
      </c>
      <c r="B131" t="str">
        <f t="array" ref="B131">IF(ROWS(B$1:B131)&gt;SUMPRODUCT(--(A:A&lt;&gt;"")),"",INDEX(A:A,SMALL(IF(A$1:A$200&lt;&gt;"",ROW(A$1:A$200)),ROWS(B$1:B131))))</f>
        <v/>
      </c>
    </row>
    <row r="132" spans="1:2" x14ac:dyDescent="0.2">
      <c r="A132" t="str">
        <f>IF(AND(Wände!A42&lt;&gt;"",LEN(Wände!A42)&lt;10),Wände!A42,"")</f>
        <v/>
      </c>
      <c r="B132" t="str">
        <f t="array" ref="B132">IF(ROWS(B$1:B132)&gt;SUMPRODUCT(--(A:A&lt;&gt;"")),"",INDEX(A:A,SMALL(IF(A$1:A$200&lt;&gt;"",ROW(A$1:A$200)),ROWS(B$1:B132))))</f>
        <v/>
      </c>
    </row>
    <row r="133" spans="1:2" x14ac:dyDescent="0.2">
      <c r="A133" t="str">
        <f>IF(AND(Wände!A43&lt;&gt;"",LEN(Wände!A43)&lt;10),Wände!A43,"")</f>
        <v/>
      </c>
      <c r="B133" t="str">
        <f t="array" ref="B133">IF(ROWS(B$1:B133)&gt;SUMPRODUCT(--(A:A&lt;&gt;"")),"",INDEX(A:A,SMALL(IF(A$1:A$200&lt;&gt;"",ROW(A$1:A$200)),ROWS(B$1:B133))))</f>
        <v/>
      </c>
    </row>
    <row r="134" spans="1:2" x14ac:dyDescent="0.2">
      <c r="A134" t="str">
        <f>IF(AND(Wände!A44&lt;&gt;"",LEN(Wände!A44)&lt;10),Wände!A44,"")</f>
        <v/>
      </c>
      <c r="B134" t="str">
        <f t="array" ref="B134">IF(ROWS(B$1:B134)&gt;SUMPRODUCT(--(A:A&lt;&gt;"")),"",INDEX(A:A,SMALL(IF(A$1:A$200&lt;&gt;"",ROW(A$1:A$200)),ROWS(B$1:B134))))</f>
        <v/>
      </c>
    </row>
    <row r="135" spans="1:2" x14ac:dyDescent="0.2">
      <c r="A135" t="str">
        <f>IF(AND(Wände!A45&lt;&gt;"",LEN(Wände!A45)&lt;10),Wände!A45,"")</f>
        <v/>
      </c>
      <c r="B135" t="str">
        <f t="array" ref="B135">IF(ROWS(B$1:B135)&gt;SUMPRODUCT(--(A:A&lt;&gt;"")),"",INDEX(A:A,SMALL(IF(A$1:A$200&lt;&gt;"",ROW(A$1:A$200)),ROWS(B$1:B135))))</f>
        <v/>
      </c>
    </row>
    <row r="136" spans="1:2" x14ac:dyDescent="0.2">
      <c r="A136" t="str">
        <f>IF(AND(Wände!A46&lt;&gt;"",LEN(Wände!A46)&lt;10),Wände!A46,"")</f>
        <v/>
      </c>
      <c r="B136" t="str">
        <f t="array" ref="B136">IF(ROWS(B$1:B136)&gt;SUMPRODUCT(--(A:A&lt;&gt;"")),"",INDEX(A:A,SMALL(IF(A$1:A$200&lt;&gt;"",ROW(A$1:A$200)),ROWS(B$1:B136))))</f>
        <v/>
      </c>
    </row>
    <row r="137" spans="1:2" x14ac:dyDescent="0.2">
      <c r="A137" t="str">
        <f>IF(AND(Wände!A47&lt;&gt;"",LEN(Wände!A47)&lt;10),Wände!A47,"")</f>
        <v/>
      </c>
      <c r="B137" t="str">
        <f t="array" ref="B137">IF(ROWS(B$1:B137)&gt;SUMPRODUCT(--(A:A&lt;&gt;"")),"",INDEX(A:A,SMALL(IF(A$1:A$200&lt;&gt;"",ROW(A$1:A$200)),ROWS(B$1:B137))))</f>
        <v/>
      </c>
    </row>
    <row r="138" spans="1:2" x14ac:dyDescent="0.2">
      <c r="A138" t="str">
        <f>IF(AND(Wände!A48&lt;&gt;"",LEN(Wände!A48)&lt;10),Wände!A48,"")</f>
        <v/>
      </c>
      <c r="B138" t="str">
        <f t="array" ref="B138">IF(ROWS(B$1:B138)&gt;SUMPRODUCT(--(A:A&lt;&gt;"")),"",INDEX(A:A,SMALL(IF(A$1:A$200&lt;&gt;"",ROW(A$1:A$200)),ROWS(B$1:B138))))</f>
        <v/>
      </c>
    </row>
    <row r="139" spans="1:2" x14ac:dyDescent="0.2">
      <c r="A139" t="str">
        <f>IF(AND(Wände!A49&lt;&gt;"",LEN(Wände!A49)&lt;10),Wände!A49,"")</f>
        <v/>
      </c>
      <c r="B139" t="str">
        <f t="array" ref="B139">IF(ROWS(B$1:B139)&gt;SUMPRODUCT(--(A:A&lt;&gt;"")),"",INDEX(A:A,SMALL(IF(A$1:A$200&lt;&gt;"",ROW(A$1:A$200)),ROWS(B$1:B139))))</f>
        <v/>
      </c>
    </row>
    <row r="140" spans="1:2" x14ac:dyDescent="0.2">
      <c r="A140" t="str">
        <f>IF(AND(Wände!A50&lt;&gt;"",LEN(Wände!A50)&lt;10),Wände!A50,"")</f>
        <v/>
      </c>
      <c r="B140" t="str">
        <f t="array" ref="B140">IF(ROWS(B$1:B140)&gt;SUMPRODUCT(--(A:A&lt;&gt;"")),"",INDEX(A:A,SMALL(IF(A$1:A$200&lt;&gt;"",ROW(A$1:A$200)),ROWS(B$1:B140))))</f>
        <v/>
      </c>
    </row>
    <row r="141" spans="1:2" x14ac:dyDescent="0.2">
      <c r="A141" t="str">
        <f>IF(AND(Wände!A51&lt;&gt;"",LEN(Wände!A51)&lt;10),Wände!A51,"")</f>
        <v/>
      </c>
      <c r="B141" t="str">
        <f t="array" ref="B141">IF(ROWS(B$1:B141)&gt;SUMPRODUCT(--(A:A&lt;&gt;"")),"",INDEX(A:A,SMALL(IF(A$1:A$200&lt;&gt;"",ROW(A$1:A$200)),ROWS(B$1:B141))))</f>
        <v/>
      </c>
    </row>
    <row r="142" spans="1:2" x14ac:dyDescent="0.2">
      <c r="A142" t="str">
        <f>IF(AND(Wände!A52&lt;&gt;"",LEN(Wände!A52)&lt;10),Wände!A52,"")</f>
        <v/>
      </c>
      <c r="B142" t="str">
        <f t="array" ref="B142">IF(ROWS(B$1:B142)&gt;SUMPRODUCT(--(A:A&lt;&gt;"")),"",INDEX(A:A,SMALL(IF(A$1:A$200&lt;&gt;"",ROW(A$1:A$200)),ROWS(B$1:B142))))</f>
        <v/>
      </c>
    </row>
    <row r="143" spans="1:2" x14ac:dyDescent="0.2">
      <c r="A143" t="str">
        <f>IF(AND(Wände!A53&lt;&gt;"",LEN(Wände!A53)&lt;10),Wände!A53,"")</f>
        <v/>
      </c>
      <c r="B143" t="str">
        <f t="array" ref="B143">IF(ROWS(B$1:B143)&gt;SUMPRODUCT(--(A:A&lt;&gt;"")),"",INDEX(A:A,SMALL(IF(A$1:A$200&lt;&gt;"",ROW(A$1:A$200)),ROWS(B$1:B143))))</f>
        <v/>
      </c>
    </row>
    <row r="144" spans="1:2" x14ac:dyDescent="0.2">
      <c r="A144" t="str">
        <f>IF(AND(Wände!A54&lt;&gt;"",LEN(Wände!A54)&lt;10),Wände!A54,"")</f>
        <v/>
      </c>
      <c r="B144" t="str">
        <f t="array" ref="B144">IF(ROWS(B$1:B144)&gt;SUMPRODUCT(--(A:A&lt;&gt;"")),"",INDEX(A:A,SMALL(IF(A$1:A$200&lt;&gt;"",ROW(A$1:A$200)),ROWS(B$1:B144))))</f>
        <v/>
      </c>
    </row>
    <row r="145" spans="1:2" x14ac:dyDescent="0.2">
      <c r="A145" t="str">
        <f>IF(AND(Wände!A55&lt;&gt;"",LEN(Wände!A55)&lt;10),Wände!A55,"")</f>
        <v/>
      </c>
      <c r="B145" t="str">
        <f t="array" ref="B145">IF(ROWS(B$1:B145)&gt;SUMPRODUCT(--(A:A&lt;&gt;"")),"",INDEX(A:A,SMALL(IF(A$1:A$200&lt;&gt;"",ROW(A$1:A$200)),ROWS(B$1:B145))))</f>
        <v/>
      </c>
    </row>
    <row r="146" spans="1:2" x14ac:dyDescent="0.2">
      <c r="A146" t="str">
        <f>IF(AND(Wände!A56&lt;&gt;"",LEN(Wände!A56)&lt;10),Wände!A56,"")</f>
        <v/>
      </c>
      <c r="B146" t="str">
        <f t="array" ref="B146">IF(ROWS(B$1:B146)&gt;SUMPRODUCT(--(A:A&lt;&gt;"")),"",INDEX(A:A,SMALL(IF(A$1:A$200&lt;&gt;"",ROW(A$1:A$200)),ROWS(B$1:B146))))</f>
        <v/>
      </c>
    </row>
    <row r="147" spans="1:2" x14ac:dyDescent="0.2">
      <c r="A147" t="str">
        <f>IF(AND(Wände!A57&lt;&gt;"",LEN(Wände!A57)&lt;10),Wände!A57,"")</f>
        <v/>
      </c>
      <c r="B147" t="str">
        <f t="array" ref="B147">IF(ROWS(B$1:B147)&gt;SUMPRODUCT(--(A:A&lt;&gt;"")),"",INDEX(A:A,SMALL(IF(A$1:A$200&lt;&gt;"",ROW(A$1:A$200)),ROWS(B$1:B147))))</f>
        <v/>
      </c>
    </row>
    <row r="148" spans="1:2" x14ac:dyDescent="0.2">
      <c r="A148" t="str">
        <f>IF(AND(Wände!A58&lt;&gt;"",LEN(Wände!A58)&lt;10),Wände!A58,"")</f>
        <v/>
      </c>
      <c r="B148" t="str">
        <f t="array" ref="B148">IF(ROWS(B$1:B148)&gt;SUMPRODUCT(--(A:A&lt;&gt;"")),"",INDEX(A:A,SMALL(IF(A$1:A$200&lt;&gt;"",ROW(A$1:A$200)),ROWS(B$1:B148))))</f>
        <v/>
      </c>
    </row>
    <row r="149" spans="1:2" x14ac:dyDescent="0.2">
      <c r="A149" t="str">
        <f>IF(AND(Wände!A59&lt;&gt;"",LEN(Wände!A59)&lt;10),Wände!A59,"")</f>
        <v/>
      </c>
      <c r="B149" t="str">
        <f t="array" ref="B149">IF(ROWS(B$1:B149)&gt;SUMPRODUCT(--(A:A&lt;&gt;"")),"",INDEX(A:A,SMALL(IF(A$1:A$200&lt;&gt;"",ROW(A$1:A$200)),ROWS(B$1:B149))))</f>
        <v/>
      </c>
    </row>
    <row r="150" spans="1:2" x14ac:dyDescent="0.2">
      <c r="A150" t="str">
        <f>IF(AND(Wände!A60&lt;&gt;"",LEN(Wände!A60)&lt;10),Wände!A60,"")</f>
        <v/>
      </c>
      <c r="B150" t="str">
        <f t="array" ref="B150">IF(ROWS(B$1:B150)&gt;SUMPRODUCT(--(A:A&lt;&gt;"")),"",INDEX(A:A,SMALL(IF(A$1:A$200&lt;&gt;"",ROW(A$1:A$200)),ROWS(B$1:B150))))</f>
        <v/>
      </c>
    </row>
    <row r="151" spans="1:2" x14ac:dyDescent="0.2">
      <c r="A151" t="str">
        <f>IF(AND(Wände!A61&lt;&gt;"",LEN(Wände!A61)&lt;10),Wände!A61,"")</f>
        <v/>
      </c>
      <c r="B151" t="str">
        <f t="array" ref="B151">IF(ROWS(B$1:B151)&gt;SUMPRODUCT(--(A:A&lt;&gt;"")),"",INDEX(A:A,SMALL(IF(A$1:A$200&lt;&gt;"",ROW(A$1:A$200)),ROWS(B$1:B151))))</f>
        <v/>
      </c>
    </row>
    <row r="152" spans="1:2" x14ac:dyDescent="0.2">
      <c r="A152" t="str">
        <f>IF(AND(Wände!A62&lt;&gt;"",LEN(Wände!A62)&lt;10),Wände!A62,"")</f>
        <v/>
      </c>
      <c r="B152" t="str">
        <f t="array" ref="B152">IF(ROWS(B$1:B152)&gt;SUMPRODUCT(--(A:A&lt;&gt;"")),"",INDEX(A:A,SMALL(IF(A$1:A$200&lt;&gt;"",ROW(A$1:A$200)),ROWS(B$1:B152))))</f>
        <v/>
      </c>
    </row>
    <row r="153" spans="1:2" x14ac:dyDescent="0.2">
      <c r="A153" t="str">
        <f>IF(AND(Wände!A63&lt;&gt;"",LEN(Wände!A63)&lt;10),Wände!A63,"")</f>
        <v/>
      </c>
      <c r="B153" t="str">
        <f t="array" ref="B153">IF(ROWS(B$1:B153)&gt;SUMPRODUCT(--(A:A&lt;&gt;"")),"",INDEX(A:A,SMALL(IF(A$1:A$200&lt;&gt;"",ROW(A$1:A$200)),ROWS(B$1:B153))))</f>
        <v/>
      </c>
    </row>
    <row r="154" spans="1:2" x14ac:dyDescent="0.2">
      <c r="A154" t="str">
        <f>IF(AND(Wände!A64&lt;&gt;"",LEN(Wände!A64)&lt;10),Wände!A64,"")</f>
        <v/>
      </c>
      <c r="B154" t="str">
        <f t="array" ref="B154">IF(ROWS(B$1:B154)&gt;SUMPRODUCT(--(A:A&lt;&gt;"")),"",INDEX(A:A,SMALL(IF(A$1:A$200&lt;&gt;"",ROW(A$1:A$200)),ROWS(B$1:B154))))</f>
        <v/>
      </c>
    </row>
    <row r="155" spans="1:2" x14ac:dyDescent="0.2">
      <c r="A155" t="str">
        <f>IF(AND(Wände!A65&lt;&gt;"",LEN(Wände!A65)&lt;10),Wände!A65,"")</f>
        <v/>
      </c>
      <c r="B155" t="str">
        <f t="array" ref="B155">IF(ROWS(B$1:B155)&gt;SUMPRODUCT(--(A:A&lt;&gt;"")),"",INDEX(A:A,SMALL(IF(A$1:A$200&lt;&gt;"",ROW(A$1:A$200)),ROWS(B$1:B155))))</f>
        <v/>
      </c>
    </row>
    <row r="156" spans="1:2" x14ac:dyDescent="0.2">
      <c r="A156" t="str">
        <f>IF(AND(Wände!A66&lt;&gt;"",LEN(Wände!A66)&lt;10),Wände!A66,"")</f>
        <v/>
      </c>
      <c r="B156" t="str">
        <f t="array" ref="B156">IF(ROWS(B$1:B156)&gt;SUMPRODUCT(--(A:A&lt;&gt;"")),"",INDEX(A:A,SMALL(IF(A$1:A$200&lt;&gt;"",ROW(A$1:A$200)),ROWS(B$1:B156))))</f>
        <v/>
      </c>
    </row>
    <row r="157" spans="1:2" x14ac:dyDescent="0.2">
      <c r="A157" t="str">
        <f>IF(AND(Wände!A67&lt;&gt;"",LEN(Wände!A67)&lt;10),Wände!A67,"")</f>
        <v/>
      </c>
      <c r="B157" t="str">
        <f t="array" ref="B157">IF(ROWS(B$1:B157)&gt;SUMPRODUCT(--(A:A&lt;&gt;"")),"",INDEX(A:A,SMALL(IF(A$1:A$200&lt;&gt;"",ROW(A$1:A$200)),ROWS(B$1:B157))))</f>
        <v/>
      </c>
    </row>
    <row r="158" spans="1:2" x14ac:dyDescent="0.2">
      <c r="A158" t="str">
        <f>IF(AND(Wände!A68&lt;&gt;"",LEN(Wände!A68)&lt;10),Wände!A68,"")</f>
        <v/>
      </c>
      <c r="B158" t="str">
        <f t="array" ref="B158">IF(ROWS(B$1:B158)&gt;SUMPRODUCT(--(A:A&lt;&gt;"")),"",INDEX(A:A,SMALL(IF(A$1:A$200&lt;&gt;"",ROW(A$1:A$200)),ROWS(B$1:B158))))</f>
        <v/>
      </c>
    </row>
    <row r="159" spans="1:2" x14ac:dyDescent="0.2">
      <c r="A159" t="str">
        <f>IF(AND(Wände!A69&lt;&gt;"",LEN(Wände!A69)&lt;10),Wände!A69,"")</f>
        <v/>
      </c>
      <c r="B159" t="str">
        <f t="array" ref="B159">IF(ROWS(B$1:B159)&gt;SUMPRODUCT(--(A:A&lt;&gt;"")),"",INDEX(A:A,SMALL(IF(A$1:A$200&lt;&gt;"",ROW(A$1:A$200)),ROWS(B$1:B159))))</f>
        <v/>
      </c>
    </row>
    <row r="160" spans="1:2" x14ac:dyDescent="0.2">
      <c r="A160" t="str">
        <f>IF(AND(Wände!A70&lt;&gt;"",LEN(Wände!A70)&lt;10),Wände!A70,"")</f>
        <v/>
      </c>
      <c r="B160" t="str">
        <f t="array" ref="B160">IF(ROWS(B$1:B160)&gt;SUMPRODUCT(--(A:A&lt;&gt;"")),"",INDEX(A:A,SMALL(IF(A$1:A$200&lt;&gt;"",ROW(A$1:A$200)),ROWS(B$1:B160))))</f>
        <v/>
      </c>
    </row>
    <row r="161" spans="1:2" x14ac:dyDescent="0.2">
      <c r="A161" t="str">
        <f>IF(AND(Wände!A71&lt;&gt;"",LEN(Wände!A71)&lt;10),Wände!A71,"")</f>
        <v/>
      </c>
      <c r="B161" t="str">
        <f t="array" ref="B161">IF(ROWS(B$1:B161)&gt;SUMPRODUCT(--(A:A&lt;&gt;"")),"",INDEX(A:A,SMALL(IF(A$1:A$200&lt;&gt;"",ROW(A$1:A$200)),ROWS(B$1:B161))))</f>
        <v/>
      </c>
    </row>
    <row r="162" spans="1:2" x14ac:dyDescent="0.2">
      <c r="A162" t="str">
        <f>IF(AND(Wände!A72&lt;&gt;"",LEN(Wände!A72)&lt;10),Wände!A72,"")</f>
        <v/>
      </c>
      <c r="B162" t="str">
        <f t="array" ref="B162">IF(ROWS(B$1:B162)&gt;SUMPRODUCT(--(A:A&lt;&gt;"")),"",INDEX(A:A,SMALL(IF(A$1:A$200&lt;&gt;"",ROW(A$1:A$200)),ROWS(B$1:B162))))</f>
        <v/>
      </c>
    </row>
    <row r="163" spans="1:2" x14ac:dyDescent="0.2">
      <c r="A163" t="str">
        <f>IF(AND(Wände!A73&lt;&gt;"",LEN(Wände!A73)&lt;10),Wände!A73,"")</f>
        <v/>
      </c>
      <c r="B163" t="str">
        <f t="array" ref="B163">IF(ROWS(B$1:B163)&gt;SUMPRODUCT(--(A:A&lt;&gt;"")),"",INDEX(A:A,SMALL(IF(A$1:A$200&lt;&gt;"",ROW(A$1:A$200)),ROWS(B$1:B163))))</f>
        <v/>
      </c>
    </row>
    <row r="164" spans="1:2" x14ac:dyDescent="0.2">
      <c r="A164" t="str">
        <f>IF(AND(Wände!A74&lt;&gt;"",LEN(Wände!A74)&lt;10),Wände!A74,"")</f>
        <v/>
      </c>
      <c r="B164" t="str">
        <f t="array" ref="B164">IF(ROWS(B$1:B164)&gt;SUMPRODUCT(--(A:A&lt;&gt;"")),"",INDEX(A:A,SMALL(IF(A$1:A$200&lt;&gt;"",ROW(A$1:A$200)),ROWS(B$1:B164))))</f>
        <v/>
      </c>
    </row>
    <row r="165" spans="1:2" x14ac:dyDescent="0.2">
      <c r="A165" t="str">
        <f>IF(AND(Wände!A75&lt;&gt;"",LEN(Wände!A75)&lt;10),Wände!A75,"")</f>
        <v/>
      </c>
      <c r="B165" t="str">
        <f t="array" ref="B165">IF(ROWS(B$1:B165)&gt;SUMPRODUCT(--(A:A&lt;&gt;"")),"",INDEX(A:A,SMALL(IF(A$1:A$200&lt;&gt;"",ROW(A$1:A$200)),ROWS(B$1:B165))))</f>
        <v/>
      </c>
    </row>
    <row r="166" spans="1:2" x14ac:dyDescent="0.2">
      <c r="A166" t="str">
        <f>IF(AND(Wände!A76&lt;&gt;"",LEN(Wände!A76)&lt;10),Wände!A76,"")</f>
        <v/>
      </c>
      <c r="B166" t="str">
        <f t="array" ref="B166">IF(ROWS(B$1:B166)&gt;SUMPRODUCT(--(A:A&lt;&gt;"")),"",INDEX(A:A,SMALL(IF(A$1:A$200&lt;&gt;"",ROW(A$1:A$200)),ROWS(B$1:B166))))</f>
        <v/>
      </c>
    </row>
    <row r="167" spans="1:2" x14ac:dyDescent="0.2">
      <c r="A167" t="str">
        <f>IF(AND(Wände!A77&lt;&gt;"",LEN(Wände!A77)&lt;10),Wände!A77,"")</f>
        <v/>
      </c>
      <c r="B167" t="str">
        <f t="array" ref="B167">IF(ROWS(B$1:B167)&gt;SUMPRODUCT(--(A:A&lt;&gt;"")),"",INDEX(A:A,SMALL(IF(A$1:A$200&lt;&gt;"",ROW(A$1:A$200)),ROWS(B$1:B167))))</f>
        <v/>
      </c>
    </row>
    <row r="168" spans="1:2" x14ac:dyDescent="0.2">
      <c r="A168" t="str">
        <f>IF(AND(Wände!A78&lt;&gt;"",LEN(Wände!A78)&lt;10),Wände!A78,"")</f>
        <v/>
      </c>
      <c r="B168" t="str">
        <f t="array" ref="B168">IF(ROWS(B$1:B168)&gt;SUMPRODUCT(--(A:A&lt;&gt;"")),"",INDEX(A:A,SMALL(IF(A$1:A$200&lt;&gt;"",ROW(A$1:A$200)),ROWS(B$1:B168))))</f>
        <v/>
      </c>
    </row>
    <row r="169" spans="1:2" x14ac:dyDescent="0.2">
      <c r="A169" t="str">
        <f>IF(AND(Wände!A79&lt;&gt;"",LEN(Wände!A79)&lt;10),Wände!A79,"")</f>
        <v/>
      </c>
      <c r="B169" t="str">
        <f t="array" ref="B169">IF(ROWS(B$1:B169)&gt;SUMPRODUCT(--(A:A&lt;&gt;"")),"",INDEX(A:A,SMALL(IF(A$1:A$200&lt;&gt;"",ROW(A$1:A$200)),ROWS(B$1:B169))))</f>
        <v/>
      </c>
    </row>
    <row r="170" spans="1:2" x14ac:dyDescent="0.2">
      <c r="A170" t="str">
        <f>IF(AND(Wände!A80&lt;&gt;"",LEN(Wände!A80)&lt;10),Wände!A80,"")</f>
        <v/>
      </c>
      <c r="B170" t="str">
        <f t="array" ref="B170">IF(ROWS(B$1:B170)&gt;SUMPRODUCT(--(A:A&lt;&gt;"")),"",INDEX(A:A,SMALL(IF(A$1:A$200&lt;&gt;"",ROW(A$1:A$200)),ROWS(B$1:B170))))</f>
        <v/>
      </c>
    </row>
    <row r="171" spans="1:2" x14ac:dyDescent="0.2">
      <c r="A171" t="str">
        <f>IF(AND(Wände!A81&lt;&gt;"",LEN(Wände!A81)&lt;10),Wände!A81,"")</f>
        <v/>
      </c>
      <c r="B171" t="str">
        <f t="array" ref="B171">IF(ROWS(B$1:B171)&gt;SUMPRODUCT(--(A:A&lt;&gt;"")),"",INDEX(A:A,SMALL(IF(A$1:A$200&lt;&gt;"",ROW(A$1:A$200)),ROWS(B$1:B171))))</f>
        <v/>
      </c>
    </row>
    <row r="172" spans="1:2" x14ac:dyDescent="0.2">
      <c r="A172" t="str">
        <f>IF(AND(Wände!A82&lt;&gt;"",LEN(Wände!A82)&lt;10),Wände!A82,"")</f>
        <v/>
      </c>
      <c r="B172" t="str">
        <f t="array" ref="B172">IF(ROWS(B$1:B172)&gt;SUMPRODUCT(--(A:A&lt;&gt;"")),"",INDEX(A:A,SMALL(IF(A$1:A$200&lt;&gt;"",ROW(A$1:A$200)),ROWS(B$1:B172))))</f>
        <v/>
      </c>
    </row>
    <row r="173" spans="1:2" x14ac:dyDescent="0.2">
      <c r="A173" t="str">
        <f>IF(AND(Wände!A83&lt;&gt;"",LEN(Wände!A83)&lt;10),Wände!A83,"")</f>
        <v/>
      </c>
      <c r="B173" t="str">
        <f t="array" ref="B173">IF(ROWS(B$1:B173)&gt;SUMPRODUCT(--(A:A&lt;&gt;"")),"",INDEX(A:A,SMALL(IF(A$1:A$200&lt;&gt;"",ROW(A$1:A$200)),ROWS(B$1:B173))))</f>
        <v/>
      </c>
    </row>
    <row r="174" spans="1:2" x14ac:dyDescent="0.2">
      <c r="A174" t="str">
        <f>IF(AND(Wände!A84&lt;&gt;"",LEN(Wände!A84)&lt;10),Wände!A84,"")</f>
        <v/>
      </c>
      <c r="B174" t="str">
        <f t="array" ref="B174">IF(ROWS(B$1:B174)&gt;SUMPRODUCT(--(A:A&lt;&gt;"")),"",INDEX(A:A,SMALL(IF(A$1:A$200&lt;&gt;"",ROW(A$1:A$200)),ROWS(B$1:B174))))</f>
        <v/>
      </c>
    </row>
    <row r="175" spans="1:2" x14ac:dyDescent="0.2">
      <c r="A175" t="str">
        <f>IF(AND(Wände!A85&lt;&gt;"",LEN(Wände!A85)&lt;10),Wände!A85,"")</f>
        <v/>
      </c>
      <c r="B175" t="str">
        <f t="array" ref="B175">IF(ROWS(B$1:B175)&gt;SUMPRODUCT(--(A:A&lt;&gt;"")),"",INDEX(A:A,SMALL(IF(A$1:A$200&lt;&gt;"",ROW(A$1:A$200)),ROWS(B$1:B175))))</f>
        <v/>
      </c>
    </row>
    <row r="176" spans="1:2" x14ac:dyDescent="0.2">
      <c r="A176" t="str">
        <f>IF(AND(Wände!A86&lt;&gt;"",LEN(Wände!A86)&lt;10),Wände!A86,"")</f>
        <v/>
      </c>
      <c r="B176" t="str">
        <f t="array" ref="B176">IF(ROWS(B$1:B176)&gt;SUMPRODUCT(--(A:A&lt;&gt;"")),"",INDEX(A:A,SMALL(IF(A$1:A$200&lt;&gt;"",ROW(A$1:A$200)),ROWS(B$1:B176))))</f>
        <v/>
      </c>
    </row>
    <row r="177" spans="1:2" x14ac:dyDescent="0.2">
      <c r="A177" t="str">
        <f>IF(AND(Wände!A87&lt;&gt;"",LEN(Wände!A87)&lt;10),Wände!A87,"")</f>
        <v/>
      </c>
      <c r="B177" t="str">
        <f t="array" ref="B177">IF(ROWS(B$1:B177)&gt;SUMPRODUCT(--(A:A&lt;&gt;"")),"",INDEX(A:A,SMALL(IF(A$1:A$200&lt;&gt;"",ROW(A$1:A$200)),ROWS(B$1:B177))))</f>
        <v/>
      </c>
    </row>
    <row r="178" spans="1:2" x14ac:dyDescent="0.2">
      <c r="A178" t="str">
        <f>IF(AND(Wände!A88&lt;&gt;"",LEN(Wände!A88)&lt;10),Wände!A88,"")</f>
        <v/>
      </c>
      <c r="B178" t="str">
        <f t="array" ref="B178">IF(ROWS(B$1:B178)&gt;SUMPRODUCT(--(A:A&lt;&gt;"")),"",INDEX(A:A,SMALL(IF(A$1:A$200&lt;&gt;"",ROW(A$1:A$200)),ROWS(B$1:B178))))</f>
        <v/>
      </c>
    </row>
    <row r="179" spans="1:2" x14ac:dyDescent="0.2">
      <c r="A179" t="str">
        <f>IF(AND(Wände!A89&lt;&gt;"",LEN(Wände!A89)&lt;10),Wände!A89,"")</f>
        <v/>
      </c>
      <c r="B179" t="str">
        <f t="array" ref="B179">IF(ROWS(B$1:B179)&gt;SUMPRODUCT(--(A:A&lt;&gt;"")),"",INDEX(A:A,SMALL(IF(A$1:A$200&lt;&gt;"",ROW(A$1:A$200)),ROWS(B$1:B179))))</f>
        <v/>
      </c>
    </row>
    <row r="180" spans="1:2" x14ac:dyDescent="0.2">
      <c r="A180" t="str">
        <f>IF(AND(Wände!A90&lt;&gt;"",LEN(Wände!A90)&lt;10),Wände!A90,"")</f>
        <v/>
      </c>
      <c r="B180" t="str">
        <f t="array" ref="B180">IF(ROWS(B$1:B180)&gt;SUMPRODUCT(--(A:A&lt;&gt;"")),"",INDEX(A:A,SMALL(IF(A$1:A$200&lt;&gt;"",ROW(A$1:A$200)),ROWS(B$1:B180))))</f>
        <v/>
      </c>
    </row>
    <row r="181" spans="1:2" x14ac:dyDescent="0.2">
      <c r="A181" t="str">
        <f>IF(AND(Wände!A91&lt;&gt;"",LEN(Wände!A91)&lt;10),Wände!A91,"")</f>
        <v/>
      </c>
      <c r="B181" t="str">
        <f t="array" ref="B181">IF(ROWS(B$1:B181)&gt;SUMPRODUCT(--(A:A&lt;&gt;"")),"",INDEX(A:A,SMALL(IF(A$1:A$200&lt;&gt;"",ROW(A$1:A$200)),ROWS(B$1:B181))))</f>
        <v/>
      </c>
    </row>
    <row r="182" spans="1:2" x14ac:dyDescent="0.2">
      <c r="A182" t="str">
        <f>IF(AND(Wände!A92&lt;&gt;"",LEN(Wände!A92)&lt;10),Wände!A92,"")</f>
        <v/>
      </c>
      <c r="B182" t="str">
        <f t="array" ref="B182">IF(ROWS(B$1:B182)&gt;SUMPRODUCT(--(A:A&lt;&gt;"")),"",INDEX(A:A,SMALL(IF(A$1:A$200&lt;&gt;"",ROW(A$1:A$200)),ROWS(B$1:B182))))</f>
        <v/>
      </c>
    </row>
    <row r="183" spans="1:2" x14ac:dyDescent="0.2">
      <c r="A183" t="str">
        <f>IF(AND(Wände!A93&lt;&gt;"",LEN(Wände!A93)&lt;10),Wände!A93,"")</f>
        <v/>
      </c>
      <c r="B183" t="str">
        <f t="array" ref="B183">IF(ROWS(B$1:B183)&gt;SUMPRODUCT(--(A:A&lt;&gt;"")),"",INDEX(A:A,SMALL(IF(A$1:A$200&lt;&gt;"",ROW(A$1:A$200)),ROWS(B$1:B183))))</f>
        <v/>
      </c>
    </row>
    <row r="184" spans="1:2" x14ac:dyDescent="0.2">
      <c r="A184" t="str">
        <f>IF(AND(Wände!A94&lt;&gt;"",LEN(Wände!A94)&lt;10),Wände!A94,"")</f>
        <v/>
      </c>
      <c r="B184" t="str">
        <f t="array" ref="B184">IF(ROWS(B$1:B184)&gt;SUMPRODUCT(--(A:A&lt;&gt;"")),"",INDEX(A:A,SMALL(IF(A$1:A$200&lt;&gt;"",ROW(A$1:A$200)),ROWS(B$1:B184))))</f>
        <v/>
      </c>
    </row>
    <row r="185" spans="1:2" x14ac:dyDescent="0.2">
      <c r="A185" t="str">
        <f>IF(AND(Wände!A95&lt;&gt;"",LEN(Wände!A95)&lt;10),Wände!A95,"")</f>
        <v/>
      </c>
      <c r="B185" t="str">
        <f t="array" ref="B185">IF(ROWS(B$1:B185)&gt;SUMPRODUCT(--(A:A&lt;&gt;"")),"",INDEX(A:A,SMALL(IF(A$1:A$200&lt;&gt;"",ROW(A$1:A$200)),ROWS(B$1:B185))))</f>
        <v/>
      </c>
    </row>
    <row r="186" spans="1:2" x14ac:dyDescent="0.2">
      <c r="A186" t="str">
        <f>IF(AND(Wände!A96&lt;&gt;"",LEN(Wände!A96)&lt;10),Wände!A96,"")</f>
        <v/>
      </c>
      <c r="B186" t="str">
        <f t="array" ref="B186">IF(ROWS(B$1:B186)&gt;SUMPRODUCT(--(A:A&lt;&gt;"")),"",INDEX(A:A,SMALL(IF(A$1:A$200&lt;&gt;"",ROW(A$1:A$200)),ROWS(B$1:B186))))</f>
        <v/>
      </c>
    </row>
    <row r="187" spans="1:2" x14ac:dyDescent="0.2">
      <c r="A187" t="str">
        <f>IF(AND(Wände!A97&lt;&gt;"",LEN(Wände!A97)&lt;10),Wände!A97,"")</f>
        <v/>
      </c>
      <c r="B187" t="str">
        <f t="array" ref="B187">IF(ROWS(B$1:B187)&gt;SUMPRODUCT(--(A:A&lt;&gt;"")),"",INDEX(A:A,SMALL(IF(A$1:A$200&lt;&gt;"",ROW(A$1:A$200)),ROWS(B$1:B187))))</f>
        <v/>
      </c>
    </row>
    <row r="188" spans="1:2" x14ac:dyDescent="0.2">
      <c r="A188" t="str">
        <f>IF(AND(Wände!A98&lt;&gt;"",LEN(Wände!A98)&lt;10),Wände!A98,"")</f>
        <v/>
      </c>
      <c r="B188" t="str">
        <f t="array" ref="B188">IF(ROWS(B$1:B188)&gt;SUMPRODUCT(--(A:A&lt;&gt;"")),"",INDEX(A:A,SMALL(IF(A$1:A$200&lt;&gt;"",ROW(A$1:A$200)),ROWS(B$1:B188))))</f>
        <v/>
      </c>
    </row>
    <row r="189" spans="1:2" x14ac:dyDescent="0.2">
      <c r="A189" t="str">
        <f>IF(AND(Wände!A99&lt;&gt;"",LEN(Wände!A99)&lt;10),Wände!A99,"")</f>
        <v/>
      </c>
      <c r="B189" t="str">
        <f t="array" ref="B189">IF(ROWS(B$1:B189)&gt;SUMPRODUCT(--(A:A&lt;&gt;"")),"",INDEX(A:A,SMALL(IF(A$1:A$200&lt;&gt;"",ROW(A$1:A$200)),ROWS(B$1:B189))))</f>
        <v/>
      </c>
    </row>
    <row r="190" spans="1:2" x14ac:dyDescent="0.2">
      <c r="A190" t="str">
        <f>IF(AND(Wände!A100&lt;&gt;"",LEN(Wände!A100)&lt;10),Wände!A100,"")</f>
        <v/>
      </c>
      <c r="B190" t="str">
        <f t="array" ref="B190">IF(ROWS(B$1:B190)&gt;SUMPRODUCT(--(A:A&lt;&gt;"")),"",INDEX(A:A,SMALL(IF(A$1:A$200&lt;&gt;"",ROW(A$1:A$200)),ROWS(B$1:B190))))</f>
        <v/>
      </c>
    </row>
    <row r="191" spans="1:2" x14ac:dyDescent="0.2">
      <c r="A191" t="str">
        <f>IF(AND(Wände!A101&lt;&gt;"",LEN(Wände!A101)&lt;10),Wände!A101,"")</f>
        <v/>
      </c>
      <c r="B191" t="str">
        <f t="array" ref="B191">IF(ROWS(B$1:B191)&gt;SUMPRODUCT(--(A:A&lt;&gt;"")),"",INDEX(A:A,SMALL(IF(A$1:A$200&lt;&gt;"",ROW(A$1:A$200)),ROWS(B$1:B191))))</f>
        <v/>
      </c>
    </row>
    <row r="192" spans="1:2" x14ac:dyDescent="0.2">
      <c r="A192" t="str">
        <f>IF(AND(Wände!A102&lt;&gt;"",LEN(Wände!A102)&lt;10),Wände!A102,"")</f>
        <v/>
      </c>
      <c r="B192" t="str">
        <f t="array" ref="B192">IF(ROWS(B$1:B192)&gt;SUMPRODUCT(--(A:A&lt;&gt;"")),"",INDEX(A:A,SMALL(IF(A$1:A$200&lt;&gt;"",ROW(A$1:A$200)),ROWS(B$1:B192))))</f>
        <v/>
      </c>
    </row>
    <row r="193" spans="1:2" x14ac:dyDescent="0.2">
      <c r="A193" t="str">
        <f>IF(AND(Wände!A103&lt;&gt;"",LEN(Wände!A103)&lt;10),Wände!A103,"")</f>
        <v/>
      </c>
      <c r="B193" t="str">
        <f t="array" ref="B193">IF(ROWS(B$1:B193)&gt;SUMPRODUCT(--(A:A&lt;&gt;"")),"",INDEX(A:A,SMALL(IF(A$1:A$200&lt;&gt;"",ROW(A$1:A$200)),ROWS(B$1:B193))))</f>
        <v/>
      </c>
    </row>
    <row r="194" spans="1:2" x14ac:dyDescent="0.2">
      <c r="A194" t="str">
        <f>IF(AND(Wände!A104&lt;&gt;"",LEN(Wände!A104)&lt;10),Wände!A104,"")</f>
        <v/>
      </c>
      <c r="B194" t="str">
        <f t="array" ref="B194">IF(ROWS(B$1:B194)&gt;SUMPRODUCT(--(A:A&lt;&gt;"")),"",INDEX(A:A,SMALL(IF(A$1:A$200&lt;&gt;"",ROW(A$1:A$200)),ROWS(B$1:B194))))</f>
        <v/>
      </c>
    </row>
    <row r="195" spans="1:2" x14ac:dyDescent="0.2">
      <c r="A195" t="str">
        <f>IF(AND(Wände!A105&lt;&gt;"",LEN(Wände!A105)&lt;10),Wände!A105,"")</f>
        <v/>
      </c>
      <c r="B195" t="str">
        <f t="array" ref="B195">IF(ROWS(B$1:B195)&gt;SUMPRODUCT(--(A:A&lt;&gt;"")),"",INDEX(A:A,SMALL(IF(A$1:A$200&lt;&gt;"",ROW(A$1:A$200)),ROWS(B$1:B195))))</f>
        <v/>
      </c>
    </row>
    <row r="196" spans="1:2" x14ac:dyDescent="0.2">
      <c r="A196" t="str">
        <f>IF(AND(Wände!A106&lt;&gt;"",LEN(Wände!A106)&lt;10),Wände!A106,"")</f>
        <v/>
      </c>
      <c r="B196" t="str">
        <f t="array" ref="B196">IF(ROWS(B$1:B196)&gt;SUMPRODUCT(--(A:A&lt;&gt;"")),"",INDEX(A:A,SMALL(IF(A$1:A$200&lt;&gt;"",ROW(A$1:A$200)),ROWS(B$1:B196))))</f>
        <v/>
      </c>
    </row>
    <row r="197" spans="1:2" x14ac:dyDescent="0.2">
      <c r="A197" t="str">
        <f>IF(AND(Wände!A107&lt;&gt;"",LEN(Wände!A107)&lt;10),Wände!A107,"")</f>
        <v/>
      </c>
      <c r="B197" t="str">
        <f t="array" ref="B197">IF(ROWS(B$1:B197)&gt;SUMPRODUCT(--(A:A&lt;&gt;"")),"",INDEX(A:A,SMALL(IF(A$1:A$200&lt;&gt;"",ROW(A$1:A$200)),ROWS(B$1:B197))))</f>
        <v/>
      </c>
    </row>
    <row r="198" spans="1:2" x14ac:dyDescent="0.2">
      <c r="A198" t="str">
        <f>IF(AND(Wände!A108&lt;&gt;"",LEN(Wände!A108)&lt;10),Wände!A108,"")</f>
        <v/>
      </c>
      <c r="B198" t="str">
        <f t="array" ref="B198">IF(ROWS(B$1:B198)&gt;SUMPRODUCT(--(A:A&lt;&gt;"")),"",INDEX(A:A,SMALL(IF(A$1:A$200&lt;&gt;"",ROW(A$1:A$200)),ROWS(B$1:B198))))</f>
        <v/>
      </c>
    </row>
    <row r="199" spans="1:2" x14ac:dyDescent="0.2">
      <c r="A199" t="str">
        <f>IF(AND(Wände!A109&lt;&gt;"",LEN(Wände!A109)&lt;10),Wände!A109,"")</f>
        <v/>
      </c>
      <c r="B199" t="str">
        <f t="array" ref="B199">IF(ROWS(B$1:B199)&gt;SUMPRODUCT(--(A:A&lt;&gt;"")),"",INDEX(A:A,SMALL(IF(A$1:A$200&lt;&gt;"",ROW(A$1:A$200)),ROWS(B$1:B199))))</f>
        <v/>
      </c>
    </row>
    <row r="200" spans="1:2" x14ac:dyDescent="0.2">
      <c r="A200" t="str">
        <f>IF(AND(Wände!A110&lt;&gt;"",LEN(Wände!A110)&lt;10),Wände!A110,"")</f>
        <v/>
      </c>
      <c r="B200" t="str">
        <f t="array" ref="B200">IF(ROWS(B$1:B200)&gt;SUMPRODUCT(--(A:A&lt;&gt;"")),"",INDEX(A:A,SMALL(IF(A$1:A$200&lt;&gt;"",ROW(A$1:A$200)),ROWS(B$1:B200))))</f>
        <v/>
      </c>
    </row>
  </sheetData>
  <dataValidations count="1">
    <dataValidation type="list" allowBlank="1" showInputMessage="1" showErrorMessage="1" sqref="C1" xr:uid="{483677A6-93E1-0843-BDB1-746453BCD7BA}">
      <formula1>WallOpeningParentCodes</formula1>
    </dataValidation>
  </dataValidations>
  <pageMargins left="0.7" right="0.7" top="0.75" bottom="0.75" header="0.3" footer="0.3"/>
  <pageSetup paperSize="9" orientation="portrait" verticalDpi="300"/>
</worksheet>
</file>

<file path=docMetadata/LabelInfo.xml><?xml version="1.0" encoding="utf-8"?>
<clbl:labelList xmlns:clbl="http://schemas.microsoft.com/office/2020/mipLabelMetadata">
  <clbl:label id="{2be2e067-efa4-4f62-8537-66d886277578}" enabled="1" method="Privileged" siteId="{364e5b87-c1c7-420d-9bee-c35d19b557a1}" contentBits="0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86</vt:i4>
      </vt:variant>
    </vt:vector>
  </HeadingPairs>
  <TitlesOfParts>
    <vt:vector size="109" baseType="lpstr">
      <vt:lpstr>Projekt</vt:lpstr>
      <vt:lpstr>Gebäudenutzungen</vt:lpstr>
      <vt:lpstr>Dächer und Decken</vt:lpstr>
      <vt:lpstr>Wände</vt:lpstr>
      <vt:lpstr>Fenster und Türen</vt:lpstr>
      <vt:lpstr>Böden</vt:lpstr>
      <vt:lpstr>Wärmebrücken</vt:lpstr>
      <vt:lpstr>Wärmeerzeuger</vt:lpstr>
      <vt:lpstr>Speicher</vt:lpstr>
      <vt:lpstr>Versorgter Bereich Heizung</vt:lpstr>
      <vt:lpstr>Versorgter Bereich Warmwasser</vt:lpstr>
      <vt:lpstr>Verbrauchsdaten HWW</vt:lpstr>
      <vt:lpstr>Geräte und Installationen</vt:lpstr>
      <vt:lpstr>Kleingeräte und Elektronik</vt:lpstr>
      <vt:lpstr>Beleuchtung</vt:lpstr>
      <vt:lpstr>Betriebseinrichtungen und Gerät</vt:lpstr>
      <vt:lpstr>Elektrizitätsprod. ohne PVopti</vt:lpstr>
      <vt:lpstr>Elektrizitätsprod. mit PVopti</vt:lpstr>
      <vt:lpstr>Weitere Verbraucher</vt:lpstr>
      <vt:lpstr>Verbrauchsdaten Elektrizität</vt:lpstr>
      <vt:lpstr>Lüftung</vt:lpstr>
      <vt:lpstr>DropDownData</vt:lpstr>
      <vt:lpstr>WallOpeningParents</vt:lpstr>
      <vt:lpstr>BasementHeatingLevel</vt:lpstr>
      <vt:lpstr>BestKnownWeatherStations</vt:lpstr>
      <vt:lpstr>Boolean</vt:lpstr>
      <vt:lpstr>BuildingUsageSubTypes</vt:lpstr>
      <vt:lpstr>BuildingUsageTypes</vt:lpstr>
      <vt:lpstr>BuildingUsageTypeSelection</vt:lpstr>
      <vt:lpstr>BüroVerwaltung</vt:lpstr>
      <vt:lpstr>CalculationBase_NoMeter</vt:lpstr>
      <vt:lpstr>CalculationBase_OnlyLump</vt:lpstr>
      <vt:lpstr>ConstructionType</vt:lpstr>
      <vt:lpstr>ConsumerMeterType</vt:lpstr>
      <vt:lpstr>DeviceQuality</vt:lpstr>
      <vt:lpstr>Devices</vt:lpstr>
      <vt:lpstr>Einfamilienhaus</vt:lpstr>
      <vt:lpstr>ElectricityProducerType</vt:lpstr>
      <vt:lpstr>ElectronicsQualities</vt:lpstr>
      <vt:lpstr>EMS_ExpertCode</vt:lpstr>
      <vt:lpstr>EnergyManagementSystemType</vt:lpstr>
      <vt:lpstr>EnergySources</vt:lpstr>
      <vt:lpstr>ExpansionDegrees</vt:lpstr>
      <vt:lpstr>ExpertCodes</vt:lpstr>
      <vt:lpstr>FacadeStructure</vt:lpstr>
      <vt:lpstr>FanType</vt:lpstr>
      <vt:lpstr>FloorType</vt:lpstr>
      <vt:lpstr>GeneralCondition</vt:lpstr>
      <vt:lpstr>GroundPlanType</vt:lpstr>
      <vt:lpstr>HeatEmission</vt:lpstr>
      <vt:lpstr>HeaterExpertCodes</vt:lpstr>
      <vt:lpstr>HeatExchangerType</vt:lpstr>
      <vt:lpstr>HeatingFlows</vt:lpstr>
      <vt:lpstr>HeatingSupplyType</vt:lpstr>
      <vt:lpstr>HeatingType</vt:lpstr>
      <vt:lpstr>HeatProducerCondition</vt:lpstr>
      <vt:lpstr>Speicher!HeatProducerExpertCodes</vt:lpstr>
      <vt:lpstr>HeatProducerExpertCodes</vt:lpstr>
      <vt:lpstr>HeatProducerOversize</vt:lpstr>
      <vt:lpstr>HeatProducerTypes</vt:lpstr>
      <vt:lpstr>HeatUnit</vt:lpstr>
      <vt:lpstr>HeizungsspeichervolumeninLiter</vt:lpstr>
      <vt:lpstr>Hotel</vt:lpstr>
      <vt:lpstr>HotelType</vt:lpstr>
      <vt:lpstr>HpExpertCodes</vt:lpstr>
      <vt:lpstr>InOutThermalEnvelope</vt:lpstr>
      <vt:lpstr>LightingQuality</vt:lpstr>
      <vt:lpstr>Mehrfamilienhaus</vt:lpstr>
      <vt:lpstr>Orientation</vt:lpstr>
      <vt:lpstr>OrientationH</vt:lpstr>
      <vt:lpstr>OrientationHExtended</vt:lpstr>
      <vt:lpstr>OtherConsumerType</vt:lpstr>
      <vt:lpstr>PartialBool</vt:lpstr>
      <vt:lpstr>Projekt!Print_Area</vt:lpstr>
      <vt:lpstr>Prioritization</vt:lpstr>
      <vt:lpstr>Quality</vt:lpstr>
      <vt:lpstr>ReservoirType</vt:lpstr>
      <vt:lpstr>Restaurant</vt:lpstr>
      <vt:lpstr>RestaurantType</vt:lpstr>
      <vt:lpstr>RoofCeilingType</vt:lpstr>
      <vt:lpstr>RoofType</vt:lpstr>
      <vt:lpstr>Schule</vt:lpstr>
      <vt:lpstr>ShopType</vt:lpstr>
      <vt:lpstr>SpExpertCodes</vt:lpstr>
      <vt:lpstr>StandardVentilationType</vt:lpstr>
      <vt:lpstr>SuppliedDistributionSystems</vt:lpstr>
      <vt:lpstr>ThermalBridgeType</vt:lpstr>
      <vt:lpstr>Title</vt:lpstr>
      <vt:lpstr>UnknownBool</vt:lpstr>
      <vt:lpstr>Verkauf</vt:lpstr>
      <vt:lpstr>WallOpeningType</vt:lpstr>
      <vt:lpstr>WallType</vt:lpstr>
      <vt:lpstr>WarmWaterWarmKeeping</vt:lpstr>
      <vt:lpstr>WeatherStations</vt:lpstr>
      <vt:lpstr>WS10ExpertCodes</vt:lpstr>
      <vt:lpstr>WS12ExpertCodes</vt:lpstr>
      <vt:lpstr>WS13ExpertCodes</vt:lpstr>
      <vt:lpstr>WS14ExpertCodes</vt:lpstr>
      <vt:lpstr>WS15ExpertCodes</vt:lpstr>
      <vt:lpstr>WS16ExpertCodes</vt:lpstr>
      <vt:lpstr>WS17ExpertCodes</vt:lpstr>
      <vt:lpstr>WS18ExpertCodes</vt:lpstr>
      <vt:lpstr>WS20ExpertCodes</vt:lpstr>
      <vt:lpstr>WS2ExpertCodes</vt:lpstr>
      <vt:lpstr>WS3ExpertCodes</vt:lpstr>
      <vt:lpstr>WS4ExpertCodes</vt:lpstr>
      <vt:lpstr>WS5ExpertCodes</vt:lpstr>
      <vt:lpstr>WS6ExpertCodes</vt:lpstr>
      <vt:lpstr>WS9ExpertCodes</vt:lpstr>
    </vt:vector>
  </TitlesOfParts>
  <Company>Elca Informatique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Mengelt Pascal-Eduard, SCS-B2B-TBS-BPS-BPM</cp:lastModifiedBy>
  <cp:lastPrinted>2012-04-05T14:07:14Z</cp:lastPrinted>
  <dcterms:created xsi:type="dcterms:W3CDTF">2012-03-22T10:41:07Z</dcterms:created>
  <dcterms:modified xsi:type="dcterms:W3CDTF">2025-11-30T15:36:59Z</dcterms:modified>
</cp:coreProperties>
</file>