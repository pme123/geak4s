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aamepar/Downloads/"/>
    </mc:Choice>
  </mc:AlternateContent>
  <xr:revisionPtr revIDLastSave="0" documentId="8_{18415825-A144-B24B-B53C-A73110C31E0D}" xr6:coauthVersionLast="47" xr6:coauthVersionMax="47" xr10:uidLastSave="{00000000-0000-0000-0000-000000000000}"/>
  <workbookProtection lockStructure="1"/>
  <bookViews>
    <workbookView xWindow="0" yWindow="760" windowWidth="34560" windowHeight="20160" tabRatio="906" xr2:uid="{46C09611-1FC2-AF47-91C8-0BDD7B254A03}"/>
  </bookViews>
  <sheets>
    <sheet name="Projekt" sheetId="1" r:id="rId1"/>
    <sheet name="Gebäudenutzungen" sheetId="44" r:id="rId2"/>
    <sheet name="Dächer und Decken" sheetId="32" r:id="rId3"/>
    <sheet name="Wände" sheetId="3" r:id="rId4"/>
    <sheet name="Fenster und Türen" sheetId="33" r:id="rId5"/>
    <sheet name="Böden" sheetId="34" r:id="rId6"/>
    <sheet name="Wärmebrücken" sheetId="35" r:id="rId7"/>
    <sheet name="Wärmeerzeuger" sheetId="14" r:id="rId8"/>
    <sheet name="Speicher" sheetId="45" r:id="rId9"/>
    <sheet name="Versorgter Bereich Heizung" sheetId="17" r:id="rId10"/>
    <sheet name="Versorgter Bereich Warmwasser" sheetId="36" r:id="rId11"/>
    <sheet name="Verbrauchsdaten HWW" sheetId="30" r:id="rId12"/>
    <sheet name="Geräte und Installationen" sheetId="21" r:id="rId13"/>
    <sheet name="Kleingeräte und Elektronik" sheetId="37" r:id="rId14"/>
    <sheet name="Beleuchtung" sheetId="38" r:id="rId15"/>
    <sheet name="Betriebseinrichtungen und Gerät" sheetId="39" r:id="rId16"/>
    <sheet name="Elektrizitätsprod. ohne PVopti" sheetId="12" r:id="rId17"/>
    <sheet name="Elektrizitätsprod. mit PVopti" sheetId="46" r:id="rId18"/>
    <sheet name="Weitere Verbraucher" sheetId="40" r:id="rId19"/>
    <sheet name="Verbrauchsdaten Elektrizität" sheetId="18" r:id="rId20"/>
    <sheet name="Lüftung" sheetId="43" r:id="rId21"/>
    <sheet name="DropDownData" sheetId="28" state="hidden" r:id="rId22"/>
    <sheet name="WallOpeningParents" sheetId="31" state="hidden" r:id="rId23"/>
  </sheets>
  <externalReferences>
    <externalReference r:id="rId24"/>
    <externalReference r:id="rId25"/>
  </externalReferences>
  <definedNames>
    <definedName name="Anrede">#REF!</definedName>
    <definedName name="ApartmentUsage">#REF!</definedName>
    <definedName name="BasementHeatingLevel">DropDownData!$AF$4:$AF$6</definedName>
    <definedName name="BestKnownWeatherStations">DropDownData!$L$4:$L$43</definedName>
    <definedName name="Boolean">DropDownData!$BO$4:$BO$5</definedName>
    <definedName name="BuildingUsageSubTypes">DropDownData!$R$4</definedName>
    <definedName name="BuildingUsageTypes">DropDownData!$N$4:$N$11</definedName>
    <definedName name="BuildingUsageTypeSelection">Gebäudenutzungen!$B$5:$D$5</definedName>
    <definedName name="BüroVerwaltung">DropDownData!$D$4:$D$7</definedName>
    <definedName name="CalculationBase_NoMeter">DropDownData!$X$4:$X$5</definedName>
    <definedName name="CalculationBase_OnlyLump">DropDownData!$AO$4</definedName>
    <definedName name="Condition">#REF!</definedName>
    <definedName name="ConstructionType">DropDownData!$I$4:$I$7</definedName>
    <definedName name="ConsumerMeterType">DropDownData!$CC$4:$CC$5</definedName>
    <definedName name="Country">#REF!</definedName>
    <definedName name="DeviceQualities">#REF!</definedName>
    <definedName name="DeviceQuality">DropDownData!$BN$4:$BN$7</definedName>
    <definedName name="Devices">DropDownData!$BL$4:$BL$24</definedName>
    <definedName name="DeviceType">#REF!</definedName>
    <definedName name="DirectNeighborsCount">#REF!</definedName>
    <definedName name="Einfamilienhaus">DropDownData!$B$4:$B$8</definedName>
    <definedName name="ElectricityProducerType">DropDownData!$BY$4:$BY$5</definedName>
    <definedName name="ElectronicsQualities">DropDownData!$BS$4:$BS$7</definedName>
    <definedName name="EMS_ExpertCode">DropDownData!$CA$4</definedName>
    <definedName name="EnergyManagementSystemType">DropDownData!$CB$4:$CB$6</definedName>
    <definedName name="EnergySource">#REF!</definedName>
    <definedName name="EnergySources">DropDownData!$AQ$4:$AQ$19</definedName>
    <definedName name="ExpansionDegrees">DropDownData!$BQ$4:$BQ$6</definedName>
    <definedName name="ExpertCodes">DropDownData!$BE$4:$BE$9</definedName>
    <definedName name="FacadeStructure">DropDownData!$S$4:$S$6</definedName>
    <definedName name="FanType">DropDownData!$AN$4:$AN$6</definedName>
    <definedName name="FloorHeating">#REF!</definedName>
    <definedName name="FloorType">DropDownData!$AH$4:$AH$11</definedName>
    <definedName name="Flow">#REF!</definedName>
    <definedName name="GeneralCondition">DropDownData!$T$4:$T$7</definedName>
    <definedName name="GroundPlan">#REF!</definedName>
    <definedName name="GroundPlanType">DropDownData!$J$4:$J$5</definedName>
    <definedName name="HeatEmission">DropDownData!$BD$4:$BD$6</definedName>
    <definedName name="HeaterExpertCodes">'Versorgter Bereich Heizung'!$A$10:$A$14</definedName>
    <definedName name="HeatExchangerType">DropDownData!$AM$4:$AM$7</definedName>
    <definedName name="HeatingFlows">DropDownData!$BG$4:$BG$11</definedName>
    <definedName name="HeatingScope">#REF!</definedName>
    <definedName name="HeatingSupplyType">DropDownData!$AU$4:$AU$6</definedName>
    <definedName name="HeatingType">DropDownData!$BC$4:$BC$5</definedName>
    <definedName name="HeatProducerCondition">DropDownData!$AV$4:$AV$6</definedName>
    <definedName name="HeatProducerExpertCodes" localSheetId="8">Speicher!$A$4:$A$8</definedName>
    <definedName name="HeatProducerExpertCodes">Wärmeerzeuger!$A$4:$A$8</definedName>
    <definedName name="HeatProducerOversize">DropDownData!$AR$4:$AR$8</definedName>
    <definedName name="HeatProducerTypes">DropDownData!$AS$4:$AS$31</definedName>
    <definedName name="HeatReservoir">#REF!</definedName>
    <definedName name="HeatUnit">DropDownData!$BK$4:$BK$11</definedName>
    <definedName name="HeizungsspeichervolumeninLiter">DropDownData!$AZ$4:$AZ$5</definedName>
    <definedName name="Hotel">DropDownData!$C$4:$C$10</definedName>
    <definedName name="HotelType">DropDownData!$O$4:$O$10</definedName>
    <definedName name="HpExpertCodes">DropDownData!$AP$4:$AP$8</definedName>
    <definedName name="HydraulicBalance">#REF!</definedName>
    <definedName name="InOutBuilding">#REF!</definedName>
    <definedName name="InOutThermalEnvelope">DropDownData!$AW$4:$AW$5</definedName>
    <definedName name="Land" localSheetId="14">#REF!</definedName>
    <definedName name="Land" localSheetId="15">#REF!</definedName>
    <definedName name="Land" localSheetId="13">#REF!</definedName>
    <definedName name="Land" localSheetId="20">#REF!</definedName>
    <definedName name="Land" localSheetId="10">#REF!</definedName>
    <definedName name="Land" localSheetId="18">#REF!</definedName>
    <definedName name="Land">#REF!</definedName>
    <definedName name="LightingQuality">DropDownData!$BU$4:$BU$7</definedName>
    <definedName name="LightningQualities">#REF!</definedName>
    <definedName name="ManagementUsage">#REF!</definedName>
    <definedName name="Mehrfamilienhaus">DropDownData!$A$4:$A$8</definedName>
    <definedName name="Orientation">DropDownData!$W$4:$W$11</definedName>
    <definedName name="OrientationExtended">#REF!</definedName>
    <definedName name="OrientationH">DropDownData!$AE$4:$AE$12</definedName>
    <definedName name="OrientationHExtended">DropDownData!$AB$4:$AB$13</definedName>
    <definedName name="OtherConsumerType">DropDownData!$BW$4:$BW$5</definedName>
    <definedName name="Oversizing">#REF!</definedName>
    <definedName name="PartialBool">DropDownData!$BF$4:$BF$6</definedName>
    <definedName name="_xlnm.Print_Area" localSheetId="0">Projekt!$A$1:$B$35</definedName>
    <definedName name="Prioritization">DropDownData!$M$4:$M$7</definedName>
    <definedName name="Quality">DropDownData!$BA$4:$BA$7</definedName>
    <definedName name="ReservoirType">DropDownData!$AY$4:$AY$6</definedName>
    <definedName name="Restaurant">DropDownData!$G$4:$G$8</definedName>
    <definedName name="RestaurantType">DropDownData!$P$4:$P$10</definedName>
    <definedName name="RoofCeilingType">DropDownData!$AA$4:$AA$10</definedName>
    <definedName name="RoofType">DropDownData!$Y$4:$Y$8</definedName>
    <definedName name="RoomsOrientation">#REF!</definedName>
    <definedName name="SchoolUsage">#REF!</definedName>
    <definedName name="Schule">DropDownData!$E$4:$E$13</definedName>
    <definedName name="ShopType">DropDownData!$Q$4:$Q$9</definedName>
    <definedName name="SpExpertCodes">DropDownData!$AX$4:$AX$13</definedName>
    <definedName name="StandardVentilationType">DropDownData!$AL$4:$AL$12</definedName>
    <definedName name="SubtractOpeningAreas">#REF!</definedName>
    <definedName name="SuppliedDistributionSystem">#REF!</definedName>
    <definedName name="SuppliedDistributionSystems">DropDownData!$AT$4:$AT$7</definedName>
    <definedName name="ThermalBridgeType">DropDownData!$AJ$4:$AJ$15</definedName>
    <definedName name="ThermallyInsulated">#REF!</definedName>
    <definedName name="Title">DropDownData!$H$4:$H$13</definedName>
    <definedName name="UnknownBool">DropDownData!$BH$4:$BH$6</definedName>
    <definedName name="Verkauf">DropDownData!$F$4:$F$11</definedName>
    <definedName name="WallOpeningParentCodes">OFFSET(WallOpeningParents!$B$1,0,0,SUMPRODUCT(--(WallOpeningParents!$B:$B&lt;&gt;"")),1)</definedName>
    <definedName name="WallOpeningType">DropDownData!$AD$4:$AD$8</definedName>
    <definedName name="WallType">DropDownData!$V$4:$V$10</definedName>
    <definedName name="WarmWaterWarmKeeping">DropDownData!$BJ$4:$BJ$6</definedName>
    <definedName name="WeatherStations">DropDownData!$K$4:$K$35</definedName>
    <definedName name="WS10ExpertCodes">DropDownData!$BI$4:$BI$13</definedName>
    <definedName name="WS12ExpertCodes">DropDownData!$BM$4:$BM$13</definedName>
    <definedName name="WS13ExpertCodes">DropDownData!$BP$4:$BP$13</definedName>
    <definedName name="WS14ExpertCodes">DropDownData!$BT$4:$BT$13</definedName>
    <definedName name="WS15ExpertCodes">DropDownData!$BR$4:$BR$13</definedName>
    <definedName name="WS16ExpertCodes">DropDownData!$BX$4:$BX$13</definedName>
    <definedName name="WS17ExpertCodes">DropDownData!$BZ$4:$BZ$13</definedName>
    <definedName name="WS18ExpertCodes">DropDownData!$BV$4:$BV$13</definedName>
    <definedName name="WS20ExpertCodes">DropDownData!$AK$4:$AK$13</definedName>
    <definedName name="WS2ExpertCodes">DropDownData!$Z$4:$Z$23</definedName>
    <definedName name="WS3ExpertCodes">DropDownData!$U$4:$U$23</definedName>
    <definedName name="WS4ExpertCodes">DropDownData!$AC$4:$AC$23</definedName>
    <definedName name="WS5ExpertCodes">DropDownData!$AG$4:$AG$23</definedName>
    <definedName name="WS6ExpertCodes">DropDownData!$AI$4:$AI$23</definedName>
    <definedName name="WS7ExpertCodes">[1]DropDownData!$AH$4:$AH$13</definedName>
    <definedName name="WS9ExpertCodes">DropDownData!$BB$4:$BB$13</definedName>
    <definedName name="Zips">#REF!</definedName>
  </definedName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7" i="44" l="1"/>
  <c r="E8" i="44" s="1"/>
  <c r="B8" i="44"/>
  <c r="C8" i="44"/>
  <c r="D8" i="44"/>
  <c r="A22" i="44"/>
  <c r="C22" i="44"/>
  <c r="E22" i="44"/>
  <c r="A23" i="44"/>
  <c r="C23" i="44"/>
  <c r="E23" i="44"/>
  <c r="A24" i="44"/>
  <c r="C24" i="44"/>
  <c r="E24" i="44"/>
  <c r="A25" i="44"/>
  <c r="C25" i="44"/>
  <c r="E25" i="44"/>
  <c r="A26" i="44"/>
  <c r="C26" i="44"/>
  <c r="E26" i="44"/>
  <c r="A27" i="44"/>
  <c r="C27" i="44"/>
  <c r="E27" i="44"/>
  <c r="A28" i="44"/>
  <c r="C28" i="44"/>
  <c r="E28" i="44"/>
  <c r="A29" i="44"/>
  <c r="C29" i="44"/>
  <c r="E29" i="44"/>
  <c r="A1" i="31"/>
  <c r="A2" i="31"/>
  <c r="A3" i="31"/>
  <c r="A4" i="31"/>
  <c r="A5" i="31"/>
  <c r="A6" i="31"/>
  <c r="A7" i="31"/>
  <c r="A8" i="31"/>
  <c r="A9" i="31"/>
  <c r="A10" i="31"/>
  <c r="A11" i="31"/>
  <c r="A12" i="31"/>
  <c r="A13" i="31"/>
  <c r="A14" i="31"/>
  <c r="B54" i="31" s="1" a="1"/>
  <c r="B54" i="31" s="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64" i="31"/>
  <c r="A65" i="31"/>
  <c r="A66" i="31"/>
  <c r="A67" i="31"/>
  <c r="A68" i="31"/>
  <c r="A69" i="31"/>
  <c r="A70" i="31"/>
  <c r="A71" i="31"/>
  <c r="A72" i="31"/>
  <c r="A73" i="31"/>
  <c r="A74" i="31"/>
  <c r="A75" i="31"/>
  <c r="A76" i="31"/>
  <c r="A77" i="31"/>
  <c r="A78" i="31"/>
  <c r="A79" i="31"/>
  <c r="A80" i="31"/>
  <c r="A81" i="31"/>
  <c r="A82" i="31"/>
  <c r="A83" i="31"/>
  <c r="A84" i="31"/>
  <c r="A85" i="31"/>
  <c r="A86" i="31"/>
  <c r="A87" i="31"/>
  <c r="A88" i="31"/>
  <c r="A89" i="31"/>
  <c r="A90" i="31"/>
  <c r="A91" i="31"/>
  <c r="A92" i="31"/>
  <c r="A93" i="31"/>
  <c r="A94" i="31"/>
  <c r="A95" i="31"/>
  <c r="A96" i="31"/>
  <c r="A97" i="31"/>
  <c r="A98" i="31"/>
  <c r="A99" i="31"/>
  <c r="A100" i="31"/>
  <c r="A101" i="31"/>
  <c r="A102" i="31"/>
  <c r="A103" i="31"/>
  <c r="A104" i="31"/>
  <c r="A105" i="31"/>
  <c r="A106" i="31"/>
  <c r="A107" i="31"/>
  <c r="A108" i="31"/>
  <c r="A109" i="31"/>
  <c r="A110" i="31"/>
  <c r="A111" i="31"/>
  <c r="A112" i="31"/>
  <c r="A113" i="31"/>
  <c r="A114" i="31"/>
  <c r="A115" i="31"/>
  <c r="A116" i="31"/>
  <c r="A117" i="31"/>
  <c r="A118" i="31"/>
  <c r="A119" i="31"/>
  <c r="A120" i="31"/>
  <c r="A121" i="31"/>
  <c r="A122" i="31"/>
  <c r="A123" i="31"/>
  <c r="A124" i="31"/>
  <c r="A125" i="31"/>
  <c r="A126" i="31"/>
  <c r="A127" i="31"/>
  <c r="A128" i="31"/>
  <c r="A129" i="31"/>
  <c r="A130" i="31"/>
  <c r="A131" i="31"/>
  <c r="A132" i="31"/>
  <c r="A133" i="31"/>
  <c r="A134" i="31"/>
  <c r="A135" i="31"/>
  <c r="A136" i="31"/>
  <c r="A137" i="31"/>
  <c r="A138" i="31"/>
  <c r="A139" i="31"/>
  <c r="A140" i="31"/>
  <c r="A141" i="31"/>
  <c r="A142" i="31"/>
  <c r="A143" i="31"/>
  <c r="A144" i="31"/>
  <c r="A145" i="31"/>
  <c r="A146" i="31"/>
  <c r="A147" i="31"/>
  <c r="A148" i="31"/>
  <c r="A149" i="31"/>
  <c r="A150" i="31"/>
  <c r="A151" i="31"/>
  <c r="A152" i="31"/>
  <c r="A153" i="31"/>
  <c r="A154" i="31"/>
  <c r="A155" i="31"/>
  <c r="A156" i="31"/>
  <c r="A157" i="31"/>
  <c r="A158" i="31"/>
  <c r="A159" i="31"/>
  <c r="A160" i="31"/>
  <c r="A161" i="31"/>
  <c r="A162" i="31"/>
  <c r="A163" i="31"/>
  <c r="A164" i="31"/>
  <c r="A165" i="31"/>
  <c r="A166" i="31"/>
  <c r="A167" i="31"/>
  <c r="A168" i="31"/>
  <c r="A169" i="31"/>
  <c r="A170" i="31"/>
  <c r="A171" i="31"/>
  <c r="A172" i="31"/>
  <c r="A173" i="31"/>
  <c r="A174" i="31"/>
  <c r="A175" i="31"/>
  <c r="A176" i="31"/>
  <c r="A177" i="31"/>
  <c r="A178" i="31"/>
  <c r="A179" i="31"/>
  <c r="A180" i="31"/>
  <c r="A181" i="31"/>
  <c r="A182" i="31"/>
  <c r="A183" i="31"/>
  <c r="A184" i="31"/>
  <c r="A185" i="31"/>
  <c r="A186" i="31"/>
  <c r="A187" i="31"/>
  <c r="A188" i="31"/>
  <c r="A189" i="31"/>
  <c r="A190" i="31"/>
  <c r="A191" i="31"/>
  <c r="A192" i="31"/>
  <c r="A193" i="31"/>
  <c r="A194" i="31"/>
  <c r="A195" i="31"/>
  <c r="A196" i="31"/>
  <c r="A197" i="31"/>
  <c r="A198" i="31"/>
  <c r="A199" i="31"/>
  <c r="A200" i="31"/>
  <c r="B38" i="31" a="1"/>
  <c r="B38" i="31" s="1"/>
  <c r="B6" i="31" a="1"/>
  <c r="B6" i="31" s="1"/>
  <c r="B5" i="31" a="1"/>
  <c r="B5" i="31" s="1"/>
  <c r="B4" i="31" a="1"/>
  <c r="B4" i="31" s="1"/>
  <c r="B33" i="31" a="1"/>
  <c r="B33" i="31" s="1"/>
  <c r="B139" i="31" a="1"/>
  <c r="B139" i="31" s="1"/>
  <c r="B59" i="31" a="1"/>
  <c r="B59" i="31" s="1"/>
  <c r="B160" i="31" a="1"/>
  <c r="B160" i="31" s="1"/>
  <c r="B197" i="31" a="1"/>
  <c r="B197" i="31" s="1"/>
  <c r="B37" i="31" a="1"/>
  <c r="B37" i="31" s="1"/>
  <c r="B138" i="31" a="1"/>
  <c r="B138" i="31" s="1"/>
  <c r="B58" i="31" a="1"/>
  <c r="B58" i="31" s="1"/>
  <c r="B159" i="31" a="1"/>
  <c r="B159" i="31" s="1"/>
  <c r="B79" i="31" a="1"/>
  <c r="B79" i="31" s="1"/>
  <c r="B31" i="31" a="1"/>
  <c r="B31" i="31" s="1"/>
  <c r="B180" i="31" a="1"/>
  <c r="B180" i="31" s="1"/>
  <c r="B148" i="31" a="1"/>
  <c r="B148" i="31" s="1"/>
  <c r="B100" i="31" a="1"/>
  <c r="B100" i="31" s="1"/>
  <c r="B52" i="31" a="1"/>
  <c r="B52" i="31" s="1"/>
  <c r="B185" i="31" a="1"/>
  <c r="B185" i="31" s="1"/>
  <c r="B137" i="31" a="1"/>
  <c r="B137" i="31" s="1"/>
  <c r="B89" i="31" a="1"/>
  <c r="B89" i="31" s="1"/>
  <c r="B57" i="31" a="1"/>
  <c r="B57" i="31" s="1"/>
  <c r="B41" i="31" a="1"/>
  <c r="B41" i="31" s="1"/>
  <c r="B25" i="31" a="1"/>
  <c r="B25" i="31" s="1"/>
  <c r="B9" i="31" a="1"/>
  <c r="B9" i="31" s="1"/>
  <c r="B193" i="31" a="1"/>
  <c r="B193" i="31" s="1"/>
  <c r="B129" i="31" a="1"/>
  <c r="B129" i="31" s="1"/>
  <c r="B17" i="31" a="1"/>
  <c r="B17" i="31" s="1"/>
  <c r="B123" i="31" a="1"/>
  <c r="B123" i="31" s="1"/>
  <c r="B43" i="31" a="1"/>
  <c r="B43" i="31" s="1"/>
  <c r="B144" i="31" a="1"/>
  <c r="B144" i="31" s="1"/>
  <c r="B64" i="31" a="1"/>
  <c r="B64" i="31" s="1"/>
  <c r="B181" i="31" a="1"/>
  <c r="B181" i="31" s="1"/>
  <c r="B117" i="31" a="1"/>
  <c r="B117" i="31" s="1"/>
  <c r="B21" i="31" a="1"/>
  <c r="B21" i="31" s="1"/>
  <c r="B122" i="31" a="1"/>
  <c r="B122" i="31" s="1"/>
  <c r="B42" i="31" a="1"/>
  <c r="B42" i="31" s="1"/>
  <c r="B143" i="31" a="1"/>
  <c r="B143" i="31" s="1"/>
  <c r="B63" i="31" a="1"/>
  <c r="B63" i="31" s="1"/>
  <c r="B15" i="31" a="1"/>
  <c r="B15" i="31" s="1"/>
  <c r="B164" i="31" a="1"/>
  <c r="B164" i="31" s="1"/>
  <c r="B132" i="31" a="1"/>
  <c r="B132" i="31" s="1"/>
  <c r="B84" i="31" a="1"/>
  <c r="B84" i="31" s="1"/>
  <c r="B36" i="31" a="1"/>
  <c r="B36" i="31" s="1"/>
  <c r="B169" i="31" a="1"/>
  <c r="B169" i="31" s="1"/>
  <c r="B121" i="31" a="1"/>
  <c r="B121" i="31" s="1"/>
  <c r="B73" i="31" a="1"/>
  <c r="B73" i="31" s="1"/>
  <c r="B174" i="31" a="1"/>
  <c r="B174" i="31" s="1"/>
  <c r="B142" i="31" a="1"/>
  <c r="B142" i="31" s="1"/>
  <c r="B110" i="31" a="1"/>
  <c r="B110" i="31" s="1"/>
  <c r="B94" i="31" a="1"/>
  <c r="B94" i="31" s="1"/>
  <c r="B78" i="31" a="1"/>
  <c r="B78" i="31" s="1"/>
  <c r="B62" i="31" a="1"/>
  <c r="B62" i="31" s="1"/>
  <c r="B46" i="31" a="1"/>
  <c r="B46" i="31" s="1"/>
  <c r="B30" i="31" a="1"/>
  <c r="B30" i="31" s="1"/>
  <c r="B14" i="31" a="1"/>
  <c r="B14" i="31" s="1"/>
  <c r="B113" i="31" a="1"/>
  <c r="B113" i="31" s="1"/>
  <c r="B155" i="31" a="1"/>
  <c r="B155" i="31" s="1"/>
  <c r="B75" i="31" a="1"/>
  <c r="B75" i="31" s="1"/>
  <c r="B192" i="31" a="1"/>
  <c r="B192" i="31" s="1"/>
  <c r="B96" i="31" a="1"/>
  <c r="B96" i="31" s="1"/>
  <c r="B16" i="31" a="1"/>
  <c r="B16" i="31" s="1"/>
  <c r="B101" i="31" a="1"/>
  <c r="B101" i="31" s="1"/>
  <c r="B186" i="31" a="1"/>
  <c r="B186" i="31" s="1"/>
  <c r="B106" i="31" a="1"/>
  <c r="B106" i="31" s="1"/>
  <c r="B26" i="31" a="1"/>
  <c r="B26" i="31" s="1"/>
  <c r="B127" i="31" a="1"/>
  <c r="B127" i="31" s="1"/>
  <c r="B47" i="31" a="1"/>
  <c r="B47" i="31" s="1"/>
  <c r="B196" i="31" a="1"/>
  <c r="B196" i="31" s="1"/>
  <c r="B116" i="31" a="1"/>
  <c r="B116" i="31" s="1"/>
  <c r="B68" i="31" a="1"/>
  <c r="B68" i="31" s="1"/>
  <c r="B20" i="31" a="1"/>
  <c r="B20" i="31" s="1"/>
  <c r="B153" i="31" a="1"/>
  <c r="B153" i="31" s="1"/>
  <c r="B105" i="31" a="1"/>
  <c r="B105" i="31" s="1"/>
  <c r="B190" i="31" a="1"/>
  <c r="B190" i="31" s="1"/>
  <c r="B158" i="31" a="1"/>
  <c r="B158" i="31" s="1"/>
  <c r="B126" i="31" a="1"/>
  <c r="B126" i="31" s="1"/>
  <c r="B195" i="31" a="1"/>
  <c r="B195" i="31" s="1"/>
  <c r="B179" i="31" a="1"/>
  <c r="B179" i="31" s="1"/>
  <c r="B163" i="31" a="1"/>
  <c r="B163" i="31" s="1"/>
  <c r="B147" i="31" a="1"/>
  <c r="B147" i="31" s="1"/>
  <c r="B131" i="31" a="1"/>
  <c r="B131" i="31" s="1"/>
  <c r="B115" i="31" a="1"/>
  <c r="B115" i="31" s="1"/>
  <c r="B99" i="31" a="1"/>
  <c r="B99" i="31" s="1"/>
  <c r="B83" i="31" a="1"/>
  <c r="B83" i="31" s="1"/>
  <c r="B67" i="31" a="1"/>
  <c r="B67" i="31" s="1"/>
  <c r="B51" i="31" a="1"/>
  <c r="B51" i="31" s="1"/>
  <c r="B35" i="31" a="1"/>
  <c r="B35" i="31" s="1"/>
  <c r="B19" i="31" a="1"/>
  <c r="B19" i="31" s="1"/>
  <c r="B3" i="31" a="1"/>
  <c r="B3" i="31" s="1"/>
  <c r="B8" i="31" a="1"/>
  <c r="B8" i="31" s="1"/>
  <c r="B161" i="31" a="1"/>
  <c r="B161" i="31" s="1"/>
  <c r="B49" i="31" a="1"/>
  <c r="B49" i="31" s="1"/>
  <c r="B171" i="31" a="1"/>
  <c r="B171" i="31" s="1"/>
  <c r="B91" i="31" a="1"/>
  <c r="B91" i="31" s="1"/>
  <c r="B11" i="31" a="1"/>
  <c r="B11" i="31" s="1"/>
  <c r="B112" i="31" a="1"/>
  <c r="B112" i="31" s="1"/>
  <c r="B32" i="31" a="1"/>
  <c r="B32" i="31" s="1"/>
  <c r="B149" i="31" a="1"/>
  <c r="B149" i="31" s="1"/>
  <c r="B69" i="31" a="1"/>
  <c r="B69" i="31" s="1"/>
  <c r="B154" i="31" a="1"/>
  <c r="B154" i="31" s="1"/>
  <c r="B74" i="31" a="1"/>
  <c r="B74" i="31" s="1"/>
  <c r="B175" i="31" a="1"/>
  <c r="B175" i="31" s="1"/>
  <c r="B95" i="31" a="1"/>
  <c r="B95" i="31" s="1"/>
  <c r="B168" i="31" a="1"/>
  <c r="B168" i="31" s="1"/>
  <c r="B136" i="31" a="1"/>
  <c r="B136" i="31" s="1"/>
  <c r="B104" i="31" a="1"/>
  <c r="B104" i="31" s="1"/>
  <c r="B72" i="31" a="1"/>
  <c r="B72" i="31" s="1"/>
  <c r="B40" i="31" a="1"/>
  <c r="B40" i="31" s="1"/>
  <c r="B173" i="31" a="1"/>
  <c r="B173" i="31" s="1"/>
  <c r="B141" i="31" a="1"/>
  <c r="B141" i="31" s="1"/>
  <c r="B109" i="31" a="1"/>
  <c r="B109" i="31" s="1"/>
  <c r="B77" i="31" a="1"/>
  <c r="B77" i="31" s="1"/>
  <c r="B61" i="31" a="1"/>
  <c r="B61" i="31" s="1"/>
  <c r="B45" i="31" a="1"/>
  <c r="B45" i="31" s="1"/>
  <c r="B29" i="31" a="1"/>
  <c r="B29" i="31" s="1"/>
  <c r="B13" i="31" a="1"/>
  <c r="B13" i="31" s="1"/>
  <c r="B194" i="31" a="1"/>
  <c r="B194" i="31" s="1"/>
  <c r="B178" i="31" a="1"/>
  <c r="B178" i="31" s="1"/>
  <c r="B162" i="31" a="1"/>
  <c r="B162" i="31" s="1"/>
  <c r="B146" i="31" a="1"/>
  <c r="B146" i="31" s="1"/>
  <c r="B130" i="31" a="1"/>
  <c r="B130" i="31" s="1"/>
  <c r="B114" i="31" a="1"/>
  <c r="B114" i="31" s="1"/>
  <c r="B98" i="31" a="1"/>
  <c r="B98" i="31" s="1"/>
  <c r="B82" i="31" a="1"/>
  <c r="B82" i="31" s="1"/>
  <c r="B66" i="31" a="1"/>
  <c r="B66" i="31" s="1"/>
  <c r="B50" i="31" a="1"/>
  <c r="B50" i="31" s="1"/>
  <c r="B34" i="31" a="1"/>
  <c r="B34" i="31" s="1"/>
  <c r="B18" i="31" a="1"/>
  <c r="B18" i="31" s="1"/>
  <c r="B2" i="31" a="1"/>
  <c r="B2" i="31" s="1"/>
  <c r="B81" i="31" a="1"/>
  <c r="B81" i="31" s="1"/>
  <c r="B176" i="31" a="1"/>
  <c r="B176" i="31" s="1"/>
  <c r="B53" i="31" a="1"/>
  <c r="B53" i="31" s="1"/>
  <c r="B200" i="31" a="1"/>
  <c r="B200" i="31" s="1"/>
  <c r="B24" i="31" a="1"/>
  <c r="B24" i="31" s="1"/>
  <c r="B199" i="31" a="1"/>
  <c r="B199" i="31" s="1"/>
  <c r="B167" i="31" a="1"/>
  <c r="B167" i="31" s="1"/>
  <c r="B151" i="31" a="1"/>
  <c r="B151" i="31" s="1"/>
  <c r="B135" i="31" a="1"/>
  <c r="B135" i="31" s="1"/>
  <c r="B119" i="31" a="1"/>
  <c r="B119" i="31" s="1"/>
  <c r="B103" i="31" a="1"/>
  <c r="B103" i="31" s="1"/>
  <c r="B87" i="31" a="1"/>
  <c r="B87" i="31" s="1"/>
  <c r="B71" i="31" a="1"/>
  <c r="B71" i="31" s="1"/>
  <c r="B55" i="31" a="1"/>
  <c r="B55" i="31" s="1"/>
  <c r="B39" i="31" a="1"/>
  <c r="B39" i="31" s="1"/>
  <c r="B23" i="31" a="1"/>
  <c r="B23" i="31" s="1"/>
  <c r="B7" i="31" a="1"/>
  <c r="B7" i="31" s="1"/>
  <c r="B177" i="31" a="1"/>
  <c r="B177" i="31" s="1"/>
  <c r="B97" i="31" a="1"/>
  <c r="B97" i="31" s="1"/>
  <c r="B187" i="31" a="1"/>
  <c r="B187" i="31" s="1"/>
  <c r="B107" i="31" a="1"/>
  <c r="B107" i="31" s="1"/>
  <c r="B27" i="31" a="1"/>
  <c r="B27" i="31" s="1"/>
  <c r="B128" i="31" a="1"/>
  <c r="B128" i="31" s="1"/>
  <c r="B48" i="31" a="1"/>
  <c r="B48" i="31" s="1"/>
  <c r="B165" i="31" a="1"/>
  <c r="B165" i="31" s="1"/>
  <c r="B85" i="31" a="1"/>
  <c r="B85" i="31" s="1"/>
  <c r="B170" i="31" a="1"/>
  <c r="B170" i="31" s="1"/>
  <c r="B90" i="31" a="1"/>
  <c r="B90" i="31" s="1"/>
  <c r="B191" i="31" a="1"/>
  <c r="B191" i="31" s="1"/>
  <c r="B111" i="31" a="1"/>
  <c r="B111" i="31" s="1"/>
  <c r="B184" i="31" a="1"/>
  <c r="B184" i="31" s="1"/>
  <c r="B152" i="31" a="1"/>
  <c r="B152" i="31" s="1"/>
  <c r="B120" i="31" a="1"/>
  <c r="B120" i="31" s="1"/>
  <c r="B88" i="31" a="1"/>
  <c r="B88" i="31" s="1"/>
  <c r="B56" i="31" a="1"/>
  <c r="B56" i="31" s="1"/>
  <c r="B189" i="31" a="1"/>
  <c r="B189" i="31" s="1"/>
  <c r="B157" i="31" a="1"/>
  <c r="B157" i="31" s="1"/>
  <c r="B125" i="31" a="1"/>
  <c r="B125" i="31" s="1"/>
  <c r="B93" i="31" a="1"/>
  <c r="B93" i="31" s="1"/>
  <c r="B183" i="31" a="1"/>
  <c r="B183" i="31" s="1"/>
  <c r="B188" i="31" a="1"/>
  <c r="B188" i="31" s="1"/>
  <c r="B172" i="31" a="1"/>
  <c r="B172" i="31" s="1"/>
  <c r="B156" i="31" a="1"/>
  <c r="B156" i="31" s="1"/>
  <c r="B140" i="31" a="1"/>
  <c r="B140" i="31" s="1"/>
  <c r="B124" i="31" a="1"/>
  <c r="B124" i="31" s="1"/>
  <c r="B108" i="31" a="1"/>
  <c r="B108" i="31" s="1"/>
  <c r="B92" i="31" a="1"/>
  <c r="B92" i="31" s="1"/>
  <c r="B76" i="31" a="1"/>
  <c r="B76" i="31" s="1"/>
  <c r="B60" i="31" a="1"/>
  <c r="B60" i="31" s="1"/>
  <c r="B44" i="31" a="1"/>
  <c r="B44" i="31" s="1"/>
  <c r="B28" i="31" a="1"/>
  <c r="B28" i="31" s="1"/>
  <c r="B70" i="31" l="1" a="1"/>
  <c r="B70" i="31" s="1"/>
  <c r="B182" i="31" a="1"/>
  <c r="B182" i="31" s="1"/>
  <c r="B10" i="31" a="1"/>
  <c r="B10" i="31" s="1"/>
  <c r="B86" i="31" a="1"/>
  <c r="B86" i="31" s="1"/>
  <c r="B80" i="31" a="1"/>
  <c r="B80" i="31" s="1"/>
  <c r="B198" i="31" a="1"/>
  <c r="B198" i="31" s="1"/>
  <c r="B65" i="31" a="1"/>
  <c r="B65" i="31" s="1"/>
  <c r="B102" i="31" a="1"/>
  <c r="B102" i="31" s="1"/>
  <c r="B118" i="31" a="1"/>
  <c r="B118" i="31" s="1"/>
  <c r="B1" i="31" a="1"/>
  <c r="B1" i="31" s="1"/>
  <c r="B134" i="31" a="1"/>
  <c r="B134" i="31" s="1"/>
  <c r="B22" i="31" a="1"/>
  <c r="B22" i="31" s="1"/>
  <c r="B150" i="31" a="1"/>
  <c r="B150" i="31" s="1"/>
  <c r="B12" i="31" a="1"/>
  <c r="B12" i="31" s="1"/>
  <c r="B133" i="31" a="1"/>
  <c r="B133" i="31" s="1"/>
  <c r="B166" i="31" a="1"/>
  <c r="B166" i="31" s="1"/>
  <c r="B145" i="31" a="1"/>
  <c r="B145" i="31" s="1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4097" xr:uid="{9FE7D5AD-F647-4D4C-B6B3-570AD6F04C1C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254000</xdr:colOff>
                <xdr:row>6</xdr:row>
                <xdr:rowOff>177800</xdr:rowOff>
              </from>
              <to>
                <xdr:col>1</xdr:col>
                <xdr:colOff>2209800</xdr:colOff>
                <xdr:row>6</xdr:row>
                <xdr:rowOff>723900</xdr:rowOff>
              </to>
            </anchor>
          </commentPr>
        </mc:Fallback>
      </mc:AlternateContent>
    </comment>
    <comment ref="A10" authorId="0" shapeId="4098" xr:uid="{1E311AD4-2452-1C45-B890-1215FE723811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Da-1 für "Dächer / Decken gegen aussen" De-1 für "Übrige Decken"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127000</xdr:colOff>
                <xdr:row>7</xdr:row>
                <xdr:rowOff>228600</xdr:rowOff>
              </from>
              <to>
                <xdr:col>1</xdr:col>
                <xdr:colOff>2209800</xdr:colOff>
                <xdr:row>8</xdr:row>
                <xdr:rowOff>228600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3073" xr:uid="{036847A7-9A53-CC48-B0EF-BAFFBFF61970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279400</xdr:colOff>
                <xdr:row>6</xdr:row>
                <xdr:rowOff>190500</xdr:rowOff>
              </from>
              <to>
                <xdr:col>1</xdr:col>
                <xdr:colOff>2197100</xdr:colOff>
                <xdr:row>6</xdr:row>
                <xdr:rowOff>723900</xdr:rowOff>
              </to>
            </anchor>
          </commentPr>
        </mc:Fallback>
      </mc:AlternateContent>
    </comment>
    <comment ref="A10" authorId="0" shapeId="3074" xr:uid="{95FD3F1C-9278-4B4F-9A44-B90B4C1F9F7B}">
      <text>
        <r>
          <rPr>
            <b/>
            <sz val="9"/>
            <color indexed="8"/>
            <rFont val="Segoe UI"/>
            <family val="2"/>
          </rPr>
          <t xml:space="preserve">Beispiel: </t>
        </r>
        <r>
          <rPr>
            <b/>
            <sz val="9"/>
            <color indexed="10"/>
            <rFont val="Segoe UI"/>
            <family val="2"/>
          </rPr>
          <t>W-1 für "Wände gegen aussen" Wx-1 für "Übrige Wände"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241300</xdr:colOff>
                <xdr:row>7</xdr:row>
                <xdr:rowOff>266700</xdr:rowOff>
              </from>
              <to>
                <xdr:col>1</xdr:col>
                <xdr:colOff>2108200</xdr:colOff>
                <xdr:row>8</xdr:row>
                <xdr:rowOff>254000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5121" xr:uid="{6F71442F-5D89-2B4E-BDC3-09C855988665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266700</xdr:colOff>
                <xdr:row>4</xdr:row>
                <xdr:rowOff>177800</xdr:rowOff>
              </from>
              <to>
                <xdr:col>1</xdr:col>
                <xdr:colOff>2171700</xdr:colOff>
                <xdr:row>4</xdr:row>
                <xdr:rowOff>723900</xdr:rowOff>
              </to>
            </anchor>
          </commentPr>
        </mc:Fallback>
      </mc:AlternateContent>
    </comment>
    <comment ref="A7" authorId="0" shapeId="5123" xr:uid="{3CFE507E-9618-FA47-B760-DE77121AFFF9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sz val="9"/>
            <color indexed="8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>Um ohne Fensterabzug zu arbeiten, darf kein Fenster eingebaut sein.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12700</xdr:colOff>
                <xdr:row>7</xdr:row>
                <xdr:rowOff>38100</xdr:rowOff>
              </from>
              <to>
                <xdr:col>4</xdr:col>
                <xdr:colOff>635000</xdr:colOff>
                <xdr:row>7</xdr:row>
                <xdr:rowOff>685800</xdr:rowOff>
              </to>
            </anchor>
          </commentPr>
        </mc:Fallback>
      </mc:AlternateContent>
    </comment>
    <comment ref="A9" authorId="0" shapeId="5124" xr:uid="{E3E01007-1A11-F94A-A1E4-E2CAECE0E183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Fe-1 für "Fenster" T-1 für "Türen"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88900</xdr:colOff>
                <xdr:row>7</xdr:row>
                <xdr:rowOff>38100</xdr:rowOff>
              </from>
              <to>
                <xdr:col>1</xdr:col>
                <xdr:colOff>2159000</xdr:colOff>
                <xdr:row>7</xdr:row>
                <xdr:rowOff>685800</xdr:rowOff>
              </to>
            </anchor>
          </commentPr>
        </mc:Fallback>
      </mc:AlternateContent>
    </comment>
  </commentList>
</comments>
</file>

<file path=xl/comments4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7" authorId="0" shapeId="6145" xr:uid="{99932869-7A29-2648-A8BA-151DFB5B7B16}">
      <text>
        <r>
          <rPr>
            <b/>
            <sz val="9"/>
            <color indexed="8"/>
            <rFont val="Segoe UI"/>
            <family val="2"/>
          </rPr>
          <t xml:space="preserve">Hinweis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292100</xdr:colOff>
                <xdr:row>6</xdr:row>
                <xdr:rowOff>190500</xdr:rowOff>
              </from>
              <to>
                <xdr:col>1</xdr:col>
                <xdr:colOff>2159000</xdr:colOff>
                <xdr:row>6</xdr:row>
                <xdr:rowOff>723900</xdr:rowOff>
              </to>
            </anchor>
          </commentPr>
        </mc:Fallback>
      </mc:AlternateContent>
    </comment>
    <comment ref="A10" authorId="0" shapeId="6147" xr:uid="{C8F9B4A1-BA71-0546-89E7-E150606EC142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Bo-1 für "Böden gegen aussen" Bx-1 für "Sonstige Böden"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266700</xdr:colOff>
                <xdr:row>7</xdr:row>
                <xdr:rowOff>266700</xdr:rowOff>
              </from>
              <to>
                <xdr:col>1</xdr:col>
                <xdr:colOff>2146300</xdr:colOff>
                <xdr:row>8</xdr:row>
                <xdr:rowOff>254000</xdr:rowOff>
              </to>
            </anchor>
          </commentPr>
        </mc:Fallback>
      </mc:AlternateContent>
    </comment>
  </commentList>
</comments>
</file>

<file path=xl/comments5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7169" xr:uid="{0B4E00AF-27AD-1142-96D8-87B8CF55BB7A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177800</xdr:colOff>
                <xdr:row>3</xdr:row>
                <xdr:rowOff>203200</xdr:rowOff>
              </from>
              <to>
                <xdr:col>1</xdr:col>
                <xdr:colOff>2171700</xdr:colOff>
                <xdr:row>3</xdr:row>
                <xdr:rowOff>762000</xdr:rowOff>
              </to>
            </anchor>
          </commentPr>
        </mc:Fallback>
      </mc:AlternateContent>
    </comment>
    <comment ref="A7" authorId="0" shapeId="7172" xr:uid="{F45AF871-029E-4B4A-8C27-77C4BFFDBB27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WL-1 für "Wärmebrücken linear " WR-1 für "Wärmebrücken punktförmig"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203200</xdr:colOff>
                <xdr:row>4</xdr:row>
                <xdr:rowOff>254000</xdr:rowOff>
              </from>
              <to>
                <xdr:col>1</xdr:col>
                <xdr:colOff>2171700</xdr:colOff>
                <xdr:row>5</xdr:row>
                <xdr:rowOff>241300</xdr:rowOff>
              </to>
            </anchor>
          </commentPr>
        </mc:Fallback>
      </mc:AlternateContent>
    </comment>
  </commentList>
</comments>
</file>

<file path=xl/comments6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3" authorId="0" shapeId="8193" xr:uid="{5F8AC0B2-6D07-584D-8E66-F56BF234A546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WE-1, WE-2, WE-3, WE-4, WE-5-1 für "Wärmeerzeuger"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482600</xdr:colOff>
                <xdr:row>1</xdr:row>
                <xdr:rowOff>50800</xdr:rowOff>
              </from>
              <to>
                <xdr:col>4</xdr:col>
                <xdr:colOff>825500</xdr:colOff>
                <xdr:row>1</xdr:row>
                <xdr:rowOff>546100</xdr:rowOff>
              </to>
            </anchor>
          </commentPr>
        </mc:Fallback>
      </mc:AlternateContent>
    </comment>
  </commentList>
</comments>
</file>

<file path=xl/comments7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6" authorId="0" shapeId="9217" xr:uid="{C9E020FF-1B8E-A849-8928-BD383EC3340E}">
      <text>
        <r>
          <rPr>
            <b/>
            <sz val="9"/>
            <color indexed="8"/>
            <rFont val="Segoe UI"/>
            <family val="2"/>
          </rPr>
          <t xml:space="preserve">Hinweis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317500</xdr:colOff>
                <xdr:row>5</xdr:row>
                <xdr:rowOff>139700</xdr:rowOff>
              </from>
              <to>
                <xdr:col>1</xdr:col>
                <xdr:colOff>2032000</xdr:colOff>
                <xdr:row>6</xdr:row>
                <xdr:rowOff>0</xdr:rowOff>
              </to>
            </anchor>
          </commentPr>
        </mc:Fallback>
      </mc:AlternateContent>
    </comment>
    <comment ref="A9" authorId="0" shapeId="9220" xr:uid="{C7CE6094-923D-8342-8F10-2F2219B10B67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HE-1 für "Versorgter Bereich Heizung"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165100</xdr:colOff>
                <xdr:row>7</xdr:row>
                <xdr:rowOff>0</xdr:rowOff>
              </from>
              <to>
                <xdr:col>1</xdr:col>
                <xdr:colOff>2032000</xdr:colOff>
                <xdr:row>8</xdr:row>
                <xdr:rowOff>0</xdr:rowOff>
              </to>
            </anchor>
          </commentPr>
        </mc:Fallback>
      </mc:AlternateContent>
    </comment>
  </commentList>
</comments>
</file>

<file path=xl/comments8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6" authorId="0" shapeId="10241" xr:uid="{EBAC52C4-3F7C-654E-826F-9BF366548BD9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292100</xdr:colOff>
                <xdr:row>5</xdr:row>
                <xdr:rowOff>152400</xdr:rowOff>
              </from>
              <to>
                <xdr:col>1</xdr:col>
                <xdr:colOff>2082800</xdr:colOff>
                <xdr:row>6</xdr:row>
                <xdr:rowOff>0</xdr:rowOff>
              </to>
            </anchor>
          </commentPr>
        </mc:Fallback>
      </mc:AlternateContent>
    </comment>
    <comment ref="A9" authorId="0" shapeId="10242" xr:uid="{F2855918-ABAB-B444-B0B5-244F1B8775C3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WW-1 für "Versorgter Bereich Warmwasser"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6</xdr:row>
                <xdr:rowOff>647700</xdr:rowOff>
              </from>
              <to>
                <xdr:col>1</xdr:col>
                <xdr:colOff>2032000</xdr:colOff>
                <xdr:row>8</xdr:row>
                <xdr:rowOff>0</xdr:rowOff>
              </to>
            </anchor>
          </commentPr>
        </mc:Fallback>
      </mc:AlternateContent>
    </comment>
  </commentList>
</comments>
</file>

<file path=xl/comments9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2289" xr:uid="{CE103E7D-5E6D-1E47-99CF-2CC8DB13D6DC}">
      <text>
        <r>
          <rPr>
            <b/>
            <sz val="9"/>
            <color indexed="8"/>
            <rFont val="Segoe UI"/>
            <family val="2"/>
          </rPr>
          <t xml:space="preserve">Hinweis:
</t>
        </r>
        <r>
          <rPr>
            <b/>
            <sz val="9"/>
            <color indexed="10"/>
            <rFont val="Segoe UI"/>
            <family val="2"/>
          </rPr>
          <t>Tabelle nur bei Wohnnutzung (EFH/MFH).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381000</xdr:colOff>
                <xdr:row>4</xdr:row>
                <xdr:rowOff>203200</xdr:rowOff>
              </from>
              <to>
                <xdr:col>1</xdr:col>
                <xdr:colOff>2209800</xdr:colOff>
                <xdr:row>5</xdr:row>
                <xdr:rowOff>0</xdr:rowOff>
              </to>
            </anchor>
          </commentPr>
        </mc:Fallback>
      </mc:AlternateContent>
    </comment>
    <comment ref="A9" authorId="0" shapeId="12291" xr:uid="{B8EF66D0-6264-6E45-9CF9-904CC8D2FA8C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GE-1 für "Geräte und Installationen"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139700</xdr:colOff>
                <xdr:row>6</xdr:row>
                <xdr:rowOff>0</xdr:rowOff>
              </from>
              <to>
                <xdr:col>1</xdr:col>
                <xdr:colOff>2006600</xdr:colOff>
                <xdr:row>8</xdr:row>
                <xdr:rowOff>0</xdr:rowOff>
              </to>
            </anchor>
          </commentPr>
        </mc:Fallback>
      </mc:AlternateContent>
    </comment>
    <comment ref="L9" authorId="0" shapeId="12290" xr:uid="{5BF05805-F2BF-7945-9445-6908E03E0050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8</xdr:col>
                <xdr:colOff>50800</xdr:colOff>
                <xdr:row>4</xdr:row>
                <xdr:rowOff>88900</xdr:rowOff>
              </from>
              <to>
                <xdr:col>9</xdr:col>
                <xdr:colOff>660400</xdr:colOff>
                <xdr:row>6</xdr:row>
                <xdr:rowOff>0</xdr:rowOff>
              </to>
            </anchor>
          </commentPr>
        </mc:Fallback>
      </mc:AlternateContent>
    </comment>
  </commentList>
</comments>
</file>

<file path=xl/comments10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3" authorId="0" shapeId="13315" xr:uid="{EE4F3C54-1B91-1743-8FD9-164E7794E069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Tabelle nur bei Wohnnutzung (EFH/MFH).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76200</xdr:colOff>
                <xdr:row>1</xdr:row>
                <xdr:rowOff>50800</xdr:rowOff>
              </from>
              <to>
                <xdr:col>3</xdr:col>
                <xdr:colOff>292100</xdr:colOff>
                <xdr:row>2</xdr:row>
                <xdr:rowOff>101600</xdr:rowOff>
              </to>
            </anchor>
          </commentPr>
        </mc:Fallback>
      </mc:AlternateContent>
    </comment>
    <comment ref="A4" authorId="0" shapeId="13318" xr:uid="{810F268B-3058-714F-A14A-EB8D28F58012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KE-1 für "Kleingeräte und Elektronik"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50800</xdr:colOff>
                <xdr:row>2</xdr:row>
                <xdr:rowOff>152400</xdr:rowOff>
              </from>
              <to>
                <xdr:col>3</xdr:col>
                <xdr:colOff>292100</xdr:colOff>
                <xdr:row>2</xdr:row>
                <xdr:rowOff>406400</xdr:rowOff>
              </to>
            </anchor>
          </commentPr>
        </mc:Fallback>
      </mc:AlternateContent>
    </comment>
    <comment ref="E4" authorId="0" shapeId="13316" xr:uid="{1811490A-06E0-0D42-BDBA-0F38FF0CE74F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b/>
            <sz val="9"/>
            <color indexed="10"/>
            <rFont val="Segoe UI"/>
            <family val="2"/>
          </rPr>
          <t xml:space="preserve">
mind. 80 % der EBF ist zu bedecken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76200</xdr:colOff>
                <xdr:row>1</xdr:row>
                <xdr:rowOff>114300</xdr:rowOff>
              </from>
              <to>
                <xdr:col>6</xdr:col>
                <xdr:colOff>12700</xdr:colOff>
                <xdr:row>2</xdr:row>
                <xdr:rowOff>419100</xdr:rowOff>
              </to>
            </anchor>
          </commentPr>
        </mc:Fallback>
      </mc:AlternateContent>
    </comment>
    <comment ref="K4" authorId="0" shapeId="13314" xr:uid="{7115D651-3531-8D40-AFB5-48B3F68C1E40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10</xdr:col>
                <xdr:colOff>876300</xdr:colOff>
                <xdr:row>1</xdr:row>
                <xdr:rowOff>76200</xdr:rowOff>
              </from>
              <to>
                <xdr:col>12</xdr:col>
                <xdr:colOff>393700</xdr:colOff>
                <xdr:row>3</xdr:row>
                <xdr:rowOff>228600</xdr:rowOff>
              </to>
            </anchor>
          </commentPr>
        </mc:Fallback>
      </mc:AlternateContent>
    </comment>
  </commentList>
</comments>
</file>

<file path=xl/comments1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14342" xr:uid="{60597342-31CF-8549-A9AE-7BB78FE73F55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BL-1 für "Beleuchtung"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1</xdr:row>
                <xdr:rowOff>114300</xdr:rowOff>
              </from>
              <to>
                <xdr:col>2</xdr:col>
                <xdr:colOff>482600</xdr:colOff>
                <xdr:row>2</xdr:row>
                <xdr:rowOff>304800</xdr:rowOff>
              </to>
            </anchor>
          </commentPr>
        </mc:Fallback>
      </mc:AlternateContent>
    </comment>
    <comment ref="E4" authorId="0" shapeId="14339" xr:uid="{087F25A6-919C-7141-AFBC-BC2C4EF07FC4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b/>
            <sz val="9"/>
            <color indexed="10"/>
            <rFont val="Segoe UI"/>
            <family val="2"/>
          </rPr>
          <t xml:space="preserve">
mind. 80 % der EBF ist zu bedecken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76200</xdr:colOff>
                <xdr:row>1</xdr:row>
                <xdr:rowOff>88900</xdr:rowOff>
              </from>
              <to>
                <xdr:col>7</xdr:col>
                <xdr:colOff>711200</xdr:colOff>
                <xdr:row>2</xdr:row>
                <xdr:rowOff>381000</xdr:rowOff>
              </to>
            </anchor>
          </commentPr>
        </mc:Fallback>
      </mc:AlternateContent>
    </comment>
    <comment ref="L4" authorId="0" shapeId="14340" xr:uid="{774AAEA6-5EEA-DA4D-AA4A-635C49CB07D6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deaktivieren, um nicht vorhandene Standardgeräte aus der "Berechnung unter aktuellen Nutzung" zu löschen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10</xdr:col>
                <xdr:colOff>622300</xdr:colOff>
                <xdr:row>1</xdr:row>
                <xdr:rowOff>25400</xdr:rowOff>
              </from>
              <to>
                <xdr:col>12</xdr:col>
                <xdr:colOff>114300</xdr:colOff>
                <xdr:row>3</xdr:row>
                <xdr:rowOff>228600</xdr:rowOff>
              </to>
            </anchor>
          </commentPr>
        </mc:Fallback>
      </mc:AlternateContent>
    </comment>
  </commentList>
</comments>
</file>

<file path=xl/comments1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5363" xr:uid="{419BF61A-A06E-5949-80C7-A574B6A91A5B}">
      <text>
        <r>
          <rPr>
            <b/>
            <sz val="9"/>
            <color indexed="8"/>
            <rFont val="Segoe UI"/>
            <family val="2"/>
          </rPr>
          <t xml:space="preserve">Hinweis:
</t>
        </r>
        <r>
          <rPr>
            <b/>
            <sz val="9"/>
            <color indexed="10"/>
            <rFont val="Segoe UI"/>
            <family val="2"/>
          </rPr>
          <t>Tabelle nur für SIA Kat. III und IV (Schulen und Verwaltung).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419100</xdr:colOff>
                <xdr:row>4</xdr:row>
                <xdr:rowOff>215900</xdr:rowOff>
              </from>
              <to>
                <xdr:col>1</xdr:col>
                <xdr:colOff>1993900</xdr:colOff>
                <xdr:row>4</xdr:row>
                <xdr:rowOff>723900</xdr:rowOff>
              </to>
            </anchor>
          </commentPr>
        </mc:Fallback>
      </mc:AlternateContent>
    </comment>
    <comment ref="A9" authorId="0" shapeId="15365" xr:uid="{F07710DB-787B-784E-927E-A4E09196FD74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BG-1 für "Betriebseinrichtungen und Geräte"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393700</xdr:colOff>
                <xdr:row>6</xdr:row>
                <xdr:rowOff>0</xdr:rowOff>
              </from>
              <to>
                <xdr:col>1</xdr:col>
                <xdr:colOff>1866900</xdr:colOff>
                <xdr:row>9</xdr:row>
                <xdr:rowOff>12700</xdr:rowOff>
              </to>
            </anchor>
          </commentPr>
        </mc:Fallback>
      </mc:AlternateContent>
    </comment>
  </commentList>
</comments>
</file>

<file path=xl/comments1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16388" xr:uid="{7E40B1ED-9235-2542-B81F-DB18D6AE20A4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127000</xdr:colOff>
                <xdr:row>3</xdr:row>
                <xdr:rowOff>114300</xdr:rowOff>
              </from>
              <to>
                <xdr:col>3</xdr:col>
                <xdr:colOff>1879600</xdr:colOff>
                <xdr:row>4</xdr:row>
                <xdr:rowOff>469900</xdr:rowOff>
              </to>
            </anchor>
          </commentPr>
        </mc:Fallback>
      </mc:AlternateContent>
    </comment>
    <comment ref="A8" authorId="0" shapeId="16387" xr:uid="{608417C5-0DBB-9D44-BB12-8F8A507CC225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EP-1 für "Elektrizitätsproduktion"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215900</xdr:colOff>
                <xdr:row>5</xdr:row>
                <xdr:rowOff>533400</xdr:rowOff>
              </from>
              <to>
                <xdr:col>3</xdr:col>
                <xdr:colOff>1054100</xdr:colOff>
                <xdr:row>6</xdr:row>
                <xdr:rowOff>101600</xdr:rowOff>
              </to>
            </anchor>
          </commentPr>
        </mc:Fallback>
      </mc:AlternateContent>
    </comment>
    <comment ref="I8" authorId="0" shapeId="16386" xr:uid="{B554E99E-B210-C148-8ED2-A008369BB427}">
      <text>
        <r>
          <rPr>
            <b/>
            <sz val="9"/>
            <color indexed="8"/>
            <rFont val="Segoe UI"/>
            <family val="2"/>
          </rPr>
          <t>Hinweis:</t>
        </r>
        <r>
          <rPr>
            <sz val="9"/>
            <color indexed="8"/>
            <rFont val="Segoe UI"/>
            <family val="2"/>
          </rPr>
          <t xml:space="preserve">
</t>
        </r>
        <r>
          <rPr>
            <b/>
            <sz val="9"/>
            <color indexed="10"/>
            <rFont val="Segoe UI"/>
            <family val="2"/>
          </rPr>
          <t xml:space="preserve">Berücksichtigungsanteil erhöht bei PVOpti-Nachweis 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139700</xdr:colOff>
                <xdr:row>5</xdr:row>
                <xdr:rowOff>317500</xdr:rowOff>
              </from>
              <to>
                <xdr:col>11</xdr:col>
                <xdr:colOff>0</xdr:colOff>
                <xdr:row>6</xdr:row>
                <xdr:rowOff>114300</xdr:rowOff>
              </to>
            </anchor>
          </commentPr>
        </mc:Fallback>
      </mc:AlternateContent>
    </comment>
  </commentList>
</comments>
</file>

<file path=xl/comments14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5" authorId="0" shapeId="26625" xr:uid="{219A72F7-1A58-4C4D-8B13-AD0C8FC51D2D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762000</xdr:colOff>
                <xdr:row>3</xdr:row>
                <xdr:rowOff>114300</xdr:rowOff>
              </from>
              <to>
                <xdr:col>2</xdr:col>
                <xdr:colOff>2197100</xdr:colOff>
                <xdr:row>4</xdr:row>
                <xdr:rowOff>469900</xdr:rowOff>
              </to>
            </anchor>
          </commentPr>
        </mc:Fallback>
      </mc:AlternateContent>
    </comment>
    <comment ref="A10" authorId="0" shapeId="26626" xr:uid="{0AE1C7E7-7838-C046-8330-529CB83E802B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EM-1 für "Energiemanagementsystem (EMS)"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</xdr:col>
                <xdr:colOff>38100</xdr:colOff>
                <xdr:row>6</xdr:row>
                <xdr:rowOff>101600</xdr:rowOff>
              </from>
              <to>
                <xdr:col>4</xdr:col>
                <xdr:colOff>685800</xdr:colOff>
                <xdr:row>8</xdr:row>
                <xdr:rowOff>101600</xdr:rowOff>
              </to>
            </anchor>
          </commentPr>
        </mc:Fallback>
      </mc:AlternateContent>
    </comment>
    <comment ref="A18" authorId="0" shapeId="26628" xr:uid="{B6617538-C255-CA43-A221-5EC3C4A40A12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EP-1 für "Elektrizitätsproduktion"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</xdr:col>
                <xdr:colOff>0</xdr:colOff>
                <xdr:row>14</xdr:row>
                <xdr:rowOff>139700</xdr:rowOff>
              </from>
              <to>
                <xdr:col>4</xdr:col>
                <xdr:colOff>622300</xdr:colOff>
                <xdr:row>16</xdr:row>
                <xdr:rowOff>152400</xdr:rowOff>
              </to>
            </anchor>
          </commentPr>
        </mc:Fallback>
      </mc:AlternateContent>
    </comment>
  </commentList>
</comments>
</file>

<file path=xl/comments15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</authors>
  <commentList>
    <comment ref="A4" authorId="0" shapeId="17414" xr:uid="{8EF05E72-88C5-6349-A9A1-200B0B04AE74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WV-1 für "Weitere Verbraucher"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177800</xdr:colOff>
                <xdr:row>1</xdr:row>
                <xdr:rowOff>139700</xdr:rowOff>
              </from>
              <to>
                <xdr:col>2</xdr:col>
                <xdr:colOff>495300</xdr:colOff>
                <xdr:row>2</xdr:row>
                <xdr:rowOff>152400</xdr:rowOff>
              </to>
            </anchor>
          </commentPr>
        </mc:Fallback>
      </mc:AlternateContent>
    </comment>
    <comment ref="K4" authorId="0" shapeId="17413" xr:uid="{65A2EBC9-86D7-284F-8538-9566317B56B6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Gebäudezugehörig wählen, um den Verbrauch in der Energie Etikette zu berücksichtigen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9</xdr:col>
                <xdr:colOff>571500</xdr:colOff>
                <xdr:row>0</xdr:row>
                <xdr:rowOff>0</xdr:rowOff>
              </from>
              <to>
                <xdr:col>10</xdr:col>
                <xdr:colOff>1028700</xdr:colOff>
                <xdr:row>3</xdr:row>
                <xdr:rowOff>304800</xdr:rowOff>
              </to>
            </anchor>
          </commentPr>
        </mc:Fallback>
      </mc:AlternateContent>
    </comment>
  </commentList>
</comments>
</file>

<file path=xl/comments16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Wesselmann Karine</author>
    <author>Pahs Markus</author>
  </authors>
  <commentList>
    <comment ref="A4" authorId="0" shapeId="22529" xr:uid="{05AF1634-9236-0840-8ABE-41910B833418}">
      <text>
        <r>
          <rPr>
            <b/>
            <sz val="9"/>
            <color indexed="8"/>
            <rFont val="Segoe UI"/>
            <family val="2"/>
          </rPr>
          <t xml:space="preserve">Hinweis: </t>
        </r>
        <r>
          <rPr>
            <b/>
            <sz val="9"/>
            <color indexed="10"/>
            <rFont val="Segoe UI"/>
            <family val="2"/>
          </rPr>
          <t>Art, Zustand? gegen Nachbarzone, unbeheizt, Erdreich ? (erweiterbar im Tool inkl. Bild)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0</xdr:col>
                <xdr:colOff>177800</xdr:colOff>
                <xdr:row>3</xdr:row>
                <xdr:rowOff>203200</xdr:rowOff>
              </from>
              <to>
                <xdr:col>1</xdr:col>
                <xdr:colOff>2171700</xdr:colOff>
                <xdr:row>3</xdr:row>
                <xdr:rowOff>762000</xdr:rowOff>
              </to>
            </anchor>
          </commentPr>
        </mc:Fallback>
      </mc:AlternateContent>
    </comment>
    <comment ref="K7" authorId="1" shapeId="22534" xr:uid="{23FCB29E-A504-A345-8440-89D78B55BED0}">
      <text>
        <r>
          <rPr>
            <sz val="9"/>
            <color indexed="8"/>
            <rFont val="Segoe UI"/>
            <family val="2"/>
          </rPr>
          <t>Bei EFH und MFH bis 2'000 m² oder bei Verwaltung und Schulen bis 1'000 m² kann eine stark vereinfachte Lüftungsberechnung basierend auf Kleinanlagen mit Standardwerten durchgeführt werden. Für alle übrigen Fälle ist eine externe Berechnung durchzuführen.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11</xdr:col>
                <xdr:colOff>177800</xdr:colOff>
                <xdr:row>3</xdr:row>
                <xdr:rowOff>368300</xdr:rowOff>
              </from>
              <to>
                <xdr:col>14</xdr:col>
                <xdr:colOff>1333500</xdr:colOff>
                <xdr:row>4</xdr:row>
                <xdr:rowOff>342900</xdr:rowOff>
              </to>
            </anchor>
          </commentPr>
        </mc:Fallback>
      </mc:AlternateContent>
    </comment>
    <comment ref="A8" authorId="0" shapeId="22530" xr:uid="{D60E0723-7A64-3740-AF5F-00C8F908F883}">
      <text>
        <r>
          <rPr>
            <b/>
            <sz val="9"/>
            <color indexed="8"/>
            <rFont val="Segoe UI"/>
            <family val="2"/>
          </rPr>
          <t>Beispiel:</t>
        </r>
        <r>
          <rPr>
            <b/>
            <sz val="9"/>
            <color indexed="10"/>
            <rFont val="Segoe UI"/>
            <family val="2"/>
          </rPr>
          <t xml:space="preserve"> LU-1 für "Lüftung"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203200</xdr:colOff>
                <xdr:row>5</xdr:row>
                <xdr:rowOff>63500</xdr:rowOff>
              </from>
              <to>
                <xdr:col>2</xdr:col>
                <xdr:colOff>317500</xdr:colOff>
                <xdr:row>6</xdr:row>
                <xdr:rowOff>127000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<sst xmlns="http://purl.oclc.org/ooxml/spreadsheetml/main" count="1179" uniqueCount="798">
  <si>
    <t>Projektbezeichnung</t>
  </si>
  <si>
    <t>Auftraggeber</t>
  </si>
  <si>
    <t>Anrede</t>
  </si>
  <si>
    <t>E-Mail</t>
  </si>
  <si>
    <t>Adresse</t>
  </si>
  <si>
    <t>Land</t>
  </si>
  <si>
    <t>Gebäude</t>
  </si>
  <si>
    <t>Baujahr</t>
  </si>
  <si>
    <t>Energiebezugsfläche [m²]</t>
  </si>
  <si>
    <t>Lichte Raumhöhe [m]</t>
  </si>
  <si>
    <t>Anzahl der Vollgeschosse</t>
  </si>
  <si>
    <t>Gebäudebreite [m]</t>
  </si>
  <si>
    <t>Fassadengliederung</t>
  </si>
  <si>
    <t>Ort</t>
  </si>
  <si>
    <t>PLZ</t>
  </si>
  <si>
    <t>Projekt</t>
  </si>
  <si>
    <t>Kürzel</t>
  </si>
  <si>
    <t>OtherConsumerType:</t>
  </si>
  <si>
    <t>Beschreibung</t>
  </si>
  <si>
    <t>Ausrichtung</t>
  </si>
  <si>
    <t>WS14ExpertCodes:</t>
  </si>
  <si>
    <t>Typ</t>
  </si>
  <si>
    <t>Zustand</t>
  </si>
  <si>
    <t>Beschreibungen im Ist-Zustand</t>
  </si>
  <si>
    <t>Beschreibung Gebäudetechnik</t>
  </si>
  <si>
    <t>Beschreibung der Gebäudehülle</t>
  </si>
  <si>
    <t>Gebäudehülle</t>
  </si>
  <si>
    <t>Bezeichnung</t>
  </si>
  <si>
    <t>Energieträger</t>
  </si>
  <si>
    <t>Versorgte Verteilsysteme</t>
  </si>
  <si>
    <t>Aufstellort</t>
  </si>
  <si>
    <t>kWh</t>
  </si>
  <si>
    <t>Hydraulischer Abgleich</t>
  </si>
  <si>
    <t>Devices:</t>
  </si>
  <si>
    <t>Einheit</t>
  </si>
  <si>
    <t>SpExpertCodes:</t>
  </si>
  <si>
    <t>Wärmeerzeuger (max. 5)</t>
  </si>
  <si>
    <t>Art der Wärmeabgabe</t>
  </si>
  <si>
    <t>Überdimensionierung [—]</t>
  </si>
  <si>
    <t>Anteil Heizung [%]</t>
  </si>
  <si>
    <t>Anteil Warmwasser [%]</t>
  </si>
  <si>
    <t>Name 1</t>
  </si>
  <si>
    <t>Name 2</t>
  </si>
  <si>
    <t>Postfach</t>
  </si>
  <si>
    <t>Telefon 1</t>
  </si>
  <si>
    <t>Telefon 2</t>
  </si>
  <si>
    <t>Gemeinde</t>
  </si>
  <si>
    <t>Strasse</t>
  </si>
  <si>
    <t>Hausnummer</t>
  </si>
  <si>
    <t>Gebäudebezeichnung</t>
  </si>
  <si>
    <t>Parzellen-Nummer</t>
  </si>
  <si>
    <t>Bauweise Gebäude</t>
  </si>
  <si>
    <t>Fensterflächen automatisch abziehen</t>
  </si>
  <si>
    <t>Qualität</t>
  </si>
  <si>
    <t>Verbrauch pro Jahr [kWh/a]</t>
  </si>
  <si>
    <t>Ausrichtung [°]</t>
  </si>
  <si>
    <t>Ausbaugrad</t>
  </si>
  <si>
    <t>Energiemanagement und Speicherbatterie (max. 1)</t>
  </si>
  <si>
    <t>Beleuchtung</t>
  </si>
  <si>
    <t>Geräte und Installationen</t>
  </si>
  <si>
    <t>Weitere Verbraucher</t>
  </si>
  <si>
    <t>Leistung [kW]</t>
  </si>
  <si>
    <t>Jahreslaufzeit [h]</t>
  </si>
  <si>
    <t>Verbrauchsdaten Elektrizität</t>
  </si>
  <si>
    <t>∅ Jahresverbrauch</t>
  </si>
  <si>
    <t>Grundrisstyp</t>
  </si>
  <si>
    <t>Klimastation</t>
  </si>
  <si>
    <t>Stromtarif-Anteile</t>
  </si>
  <si>
    <t>Hochtarif</t>
  </si>
  <si>
    <t>Mitteltarif</t>
  </si>
  <si>
    <t>Niedertarif</t>
  </si>
  <si>
    <t>Lage der horizontalen Verteilleitungen</t>
  </si>
  <si>
    <t>Versorgter Bereich Heizung (max. 3 Bereiche)</t>
  </si>
  <si>
    <t>Versorgter Bereich Warmwasser (max. 3 Bereiche)</t>
  </si>
  <si>
    <t>Sm³</t>
  </si>
  <si>
    <t>Ster</t>
  </si>
  <si>
    <t>kg</t>
  </si>
  <si>
    <t>m³</t>
  </si>
  <si>
    <t>l</t>
  </si>
  <si>
    <t>Verteilleitungen gedämmt</t>
  </si>
  <si>
    <t>MJ</t>
  </si>
  <si>
    <t>Teilbeheizungsgrad Kellergeschoss</t>
  </si>
  <si>
    <t>Nutzungsgrad Heizung</t>
  </si>
  <si>
    <t>Nutzungsgrad Warmwasser</t>
  </si>
  <si>
    <t>Gebäudetechnik</t>
  </si>
  <si>
    <t>EGID_EDID-Gruppe</t>
  </si>
  <si>
    <t>EGID</t>
  </si>
  <si>
    <t>Wände</t>
  </si>
  <si>
    <t>Wände gegen aussen</t>
  </si>
  <si>
    <t>Übrige Wände</t>
  </si>
  <si>
    <t>Erzeugungsanlagen</t>
  </si>
  <si>
    <t>Mögliche Verbesserungen</t>
  </si>
  <si>
    <t>Warmwasserverteilung und -amaturen</t>
  </si>
  <si>
    <t>Bo-4</t>
  </si>
  <si>
    <t>Bo-3</t>
  </si>
  <si>
    <t>Bo-2</t>
  </si>
  <si>
    <t>Bauteilheizung</t>
  </si>
  <si>
    <t>Bo-1</t>
  </si>
  <si>
    <t>WS5ExpertCodes:</t>
  </si>
  <si>
    <t>VL Nachbarzone</t>
  </si>
  <si>
    <t>HpExpertCodes:</t>
  </si>
  <si>
    <t>Bo-5</t>
  </si>
  <si>
    <t>Dächer und Decken</t>
  </si>
  <si>
    <t>Dachtyp</t>
  </si>
  <si>
    <t>Dächer / Decken gegen aussen</t>
  </si>
  <si>
    <t>Übrige Decken</t>
  </si>
  <si>
    <t>Fenster und Türen</t>
  </si>
  <si>
    <t>g-Wert [—]</t>
  </si>
  <si>
    <t>Glasanteil [—]</t>
  </si>
  <si>
    <t>Verschattung [—]</t>
  </si>
  <si>
    <t>BasementHeatingLevel:</t>
  </si>
  <si>
    <t>Eingebaut in</t>
  </si>
  <si>
    <t>Böden</t>
  </si>
  <si>
    <t>Übrige Böden</t>
  </si>
  <si>
    <t>Böden gegen aussen</t>
  </si>
  <si>
    <t>Wärmebrücken</t>
  </si>
  <si>
    <t>Länge [m]</t>
  </si>
  <si>
    <t>Psi-Wert Ψ [W/(mK)]</t>
  </si>
  <si>
    <t>Chi-Wert Χ [W/K]</t>
  </si>
  <si>
    <t>Anzahl [—]</t>
  </si>
  <si>
    <t>b-Faktor [—]</t>
  </si>
  <si>
    <t>Wärmeverteilung und -abgabe Heizung</t>
  </si>
  <si>
    <t>WE-1 Deckungsgrad [%]</t>
  </si>
  <si>
    <t>WE-2 Deckungsgrad [%]</t>
  </si>
  <si>
    <t>WE-3 Deckungsgrad [%]</t>
  </si>
  <si>
    <t>WE-4 Deckungsgrad [%]</t>
  </si>
  <si>
    <t>WE-5 Deckungsgrad [%]</t>
  </si>
  <si>
    <t>Dämmdicke [cm]</t>
  </si>
  <si>
    <t>Wärmeleitfähigkeit Dämmung [W/(mK)]</t>
  </si>
  <si>
    <t>Vorlauf/Rücklauf [°C]</t>
  </si>
  <si>
    <t>Durchschnittlicher Verbrauch pro Jahr</t>
  </si>
  <si>
    <t>WS18ExpertCodes:</t>
  </si>
  <si>
    <t>WV-1</t>
  </si>
  <si>
    <t>Kleingeräte und Elektronik</t>
  </si>
  <si>
    <t>Betriebseinrichtungen und Geräte</t>
  </si>
  <si>
    <t>Eigenverbrauch mit einem externen Tool berechnet</t>
  </si>
  <si>
    <t>Template R6.8 generiert am:</t>
  </si>
  <si>
    <t>EDID</t>
  </si>
  <si>
    <t>PLZ/Ort</t>
  </si>
  <si>
    <t>Raumtemperatur [°C]</t>
  </si>
  <si>
    <t>Elektrizitätsbedarf pro Jahr [MJ/m²]</t>
  </si>
  <si>
    <t>Regelungszuschlag für Raumtemperatur [K]</t>
  </si>
  <si>
    <t>Personenfläche [m²/P]</t>
  </si>
  <si>
    <t>Wärmeabgabe pro Person [W/P]</t>
  </si>
  <si>
    <t>Bestbekannte Werte Klimastation</t>
  </si>
  <si>
    <t>Höhe ü. M.</t>
  </si>
  <si>
    <t>WS2ExpertCodes:</t>
  </si>
  <si>
    <t>Lüftung</t>
  </si>
  <si>
    <t>Anzahl Räume mit Zuluft/Anzahl Personen</t>
  </si>
  <si>
    <t>Ventilatorantrieb mit</t>
  </si>
  <si>
    <t>Flächenbezogener Aussenluft-Volumenstrom [m³/(h m²)]</t>
  </si>
  <si>
    <t>Thermisch wirksame Aussenluftrate [m³/h]</t>
  </si>
  <si>
    <t>Strombedarf Lüftung + Vereisungsschutz [kWh]</t>
  </si>
  <si>
    <t>Strombedarf Kälteförderung [kWh]</t>
  </si>
  <si>
    <t>Strombedarf Klima und Befeuchtung [kWh]</t>
  </si>
  <si>
    <t>Wärmerückgewinnungs-Wärmetauscher</t>
  </si>
  <si>
    <t>Standard-Lüftungsanlagentyp</t>
  </si>
  <si>
    <t>Angaben bei Standard-Lüftungsanlagen</t>
  </si>
  <si>
    <t>Nutzung 1</t>
  </si>
  <si>
    <t>Nutzung 2</t>
  </si>
  <si>
    <t>Nutzung 3</t>
  </si>
  <si>
    <t>Nutzungsart</t>
  </si>
  <si>
    <t>Fläche [m²]</t>
  </si>
  <si>
    <t>Fläche [%]</t>
  </si>
  <si>
    <t>Standard-Nutzungsdaten überschreiben</t>
  </si>
  <si>
    <t>Reduktionsfaktor Elektrizität</t>
  </si>
  <si>
    <t>Gesamt</t>
  </si>
  <si>
    <t>∅ Jahresverbrauch [kWh/a]</t>
  </si>
  <si>
    <t>Gebäudenutzungen</t>
  </si>
  <si>
    <t>Nutzungsart II</t>
  </si>
  <si>
    <t>Warmhaltung</t>
  </si>
  <si>
    <t>Speicher (max. 10)</t>
  </si>
  <si>
    <t>Gesamtspeichervolumen in Liter</t>
  </si>
  <si>
    <t>Warmwasserspeichervolumen in Liter</t>
  </si>
  <si>
    <t>Ausführungsqualität Speicheranschlüsse</t>
  </si>
  <si>
    <t>Verhältnis der Speicherhöhe zum Speicherdurchmesser</t>
  </si>
  <si>
    <t>WE-1</t>
  </si>
  <si>
    <t>WE-2</t>
  </si>
  <si>
    <t>WE-3</t>
  </si>
  <si>
    <t>WE-4</t>
  </si>
  <si>
    <t>WE-5</t>
  </si>
  <si>
    <t>Hauptwärmeerzeuger</t>
  </si>
  <si>
    <t>Präsenzzeit pro Tag [h/d]</t>
  </si>
  <si>
    <t>Energiebedarf Warmwasser [kWh/m²]</t>
  </si>
  <si>
    <t>Heizungsspeichervolumen in Liter</t>
  </si>
  <si>
    <t>WS20ExpertCodes:</t>
  </si>
  <si>
    <t>EMS_ExpertCode:</t>
  </si>
  <si>
    <t>Jahr der letzten Gesamtsanierung</t>
  </si>
  <si>
    <t>∅ Ertrag aus Photovoltaik und / oder Wärmekraftkopplung [kWh/a]</t>
  </si>
  <si>
    <t>Netzeinspeisung [kWh/a]</t>
  </si>
  <si>
    <t xml:space="preserve">Wärmeerzeuger </t>
  </si>
  <si>
    <t>Netzeinspeisung [%]</t>
  </si>
  <si>
    <t>Stromproduktion (Jahresertrag) [kWh]</t>
  </si>
  <si>
    <t>Priorität</t>
  </si>
  <si>
    <t>WS17ExpertCodes:</t>
  </si>
  <si>
    <t>Elektrizitätsprod. mit PVopti</t>
  </si>
  <si>
    <t>Berechnungsgrundlage</t>
  </si>
  <si>
    <t>Nutzungsdauer [Jahre]</t>
  </si>
  <si>
    <t>HeatUnit:</t>
  </si>
  <si>
    <t>Inbetriebnahmejahr</t>
  </si>
  <si>
    <t>Anstellwinkel [°]</t>
  </si>
  <si>
    <t>Instandhaltungskosten [CHF/a]</t>
  </si>
  <si>
    <t>Installierte Leistung [kWp]</t>
  </si>
  <si>
    <t>Nutzungsgrad elektrisch</t>
  </si>
  <si>
    <t>Werterhalt</t>
  </si>
  <si>
    <t>Investition</t>
  </si>
  <si>
    <t>Energiemanagementsystem (EMS)</t>
  </si>
  <si>
    <t>Speicherbatterie vorhanden?</t>
  </si>
  <si>
    <t>Elektrische Speicherkapazität</t>
  </si>
  <si>
    <t>Language:</t>
  </si>
  <si>
    <t>de</t>
  </si>
  <si>
    <t>Version:</t>
  </si>
  <si>
    <t>Mehrfamilienhaus:</t>
  </si>
  <si>
    <t>Wohnung</t>
  </si>
  <si>
    <t>Treppenhaus</t>
  </si>
  <si>
    <t>Home-Office</t>
  </si>
  <si>
    <t>Keller, Estrich</t>
  </si>
  <si>
    <t>Abstellraum, Garage o. ä.</t>
  </si>
  <si>
    <t>Einfamilienhaus:</t>
  </si>
  <si>
    <t>Hotel:</t>
  </si>
  <si>
    <t>Hotelzimmer</t>
  </si>
  <si>
    <t>Eingangshalle</t>
  </si>
  <si>
    <t>Büro</t>
  </si>
  <si>
    <t>Verkehrsfläche</t>
  </si>
  <si>
    <t>Nebenfläche</t>
  </si>
  <si>
    <t>BüroVerwaltung:</t>
  </si>
  <si>
    <t>Korridor, Erschliessung</t>
  </si>
  <si>
    <t>Nebenräume</t>
  </si>
  <si>
    <t>Schule:</t>
  </si>
  <si>
    <t>Schulzimmer</t>
  </si>
  <si>
    <t>Lehrerzimmer</t>
  </si>
  <si>
    <t>Turnhalle</t>
  </si>
  <si>
    <t>Garderobe, Duschen, WC</t>
  </si>
  <si>
    <t>Singsaal, Aula</t>
  </si>
  <si>
    <t>Verkauf:</t>
  </si>
  <si>
    <t>Lebensmittel</t>
  </si>
  <si>
    <t>Fachgeschäft</t>
  </si>
  <si>
    <t>Möbel, Bau, Garten</t>
  </si>
  <si>
    <t>Restaurant:</t>
  </si>
  <si>
    <t>Restaurant</t>
  </si>
  <si>
    <t>Title:</t>
  </si>
  <si>
    <t>Frau</t>
  </si>
  <si>
    <t>Herr</t>
  </si>
  <si>
    <t>Herr u. Frau</t>
  </si>
  <si>
    <t>Firma</t>
  </si>
  <si>
    <t>Familie</t>
  </si>
  <si>
    <t>Hauseigentümer</t>
  </si>
  <si>
    <t>Eigentümergemeinschaft</t>
  </si>
  <si>
    <t>Liegenschaftsverwaltung</t>
  </si>
  <si>
    <t>Gemeindeverwaltung</t>
  </si>
  <si>
    <t/>
  </si>
  <si>
    <t>ConstructionType:</t>
  </si>
  <si>
    <t>schwer</t>
  </si>
  <si>
    <t>mittel</t>
  </si>
  <si>
    <t>leicht</t>
  </si>
  <si>
    <t>sehr leicht</t>
  </si>
  <si>
    <t>GroundPlanType:</t>
  </si>
  <si>
    <t>kompakt</t>
  </si>
  <si>
    <t>gestreckt</t>
  </si>
  <si>
    <t>WeatherStations:</t>
  </si>
  <si>
    <t>Adelboden</t>
  </si>
  <si>
    <t>Altdorf</t>
  </si>
  <si>
    <t>Basel-Binningen</t>
  </si>
  <si>
    <t>Bern-Liebefeld</t>
  </si>
  <si>
    <t>Buchs-Aarau</t>
  </si>
  <si>
    <t>Chur</t>
  </si>
  <si>
    <t>Davos</t>
  </si>
  <si>
    <t>Disentis</t>
  </si>
  <si>
    <t>Engelberg</t>
  </si>
  <si>
    <t>Genève-Cointrin</t>
  </si>
  <si>
    <t>Glarus</t>
  </si>
  <si>
    <t>Grand-St-Bernard</t>
  </si>
  <si>
    <t>Güttingen</t>
  </si>
  <si>
    <t>La Chaux-de-Fonds</t>
  </si>
  <si>
    <t>Locarno-Monti</t>
  </si>
  <si>
    <t>Lugano</t>
  </si>
  <si>
    <t>Luzern</t>
  </si>
  <si>
    <t>Magadino</t>
  </si>
  <si>
    <t>Montana</t>
  </si>
  <si>
    <t>Neuchâtel</t>
  </si>
  <si>
    <t>Payerne</t>
  </si>
  <si>
    <t>Robbia</t>
  </si>
  <si>
    <t>Samedan</t>
  </si>
  <si>
    <t>San Bernardino</t>
  </si>
  <si>
    <t>Schaffhausen</t>
  </si>
  <si>
    <t>Scuol</t>
  </si>
  <si>
    <t>Sion</t>
  </si>
  <si>
    <t>St. Gallen</t>
  </si>
  <si>
    <t>Vaduz</t>
  </si>
  <si>
    <t>Wynau</t>
  </si>
  <si>
    <t>Zermatt</t>
  </si>
  <si>
    <t>Zürich-MeteoSchweiz</t>
  </si>
  <si>
    <t>BestKnownWeatherStations:</t>
  </si>
  <si>
    <t>Aigle</t>
  </si>
  <si>
    <t>Interlaken</t>
  </si>
  <si>
    <t>La Frétaz</t>
  </si>
  <si>
    <t>Piotta</t>
  </si>
  <si>
    <t>Pully</t>
  </si>
  <si>
    <t>Rünenberg</t>
  </si>
  <si>
    <t>Ulrichen</t>
  </si>
  <si>
    <t>Zürich-Kloten</t>
  </si>
  <si>
    <t>Testobjekt Zaida</t>
  </si>
  <si>
    <t>Beschreibung des Gebäudes</t>
  </si>
  <si>
    <t>Prioritization:</t>
  </si>
  <si>
    <t>Hohe Priorität: Umsetzung in &lt; 2 Jahren</t>
  </si>
  <si>
    <t>Mittlere Priorität: Umsetzung in 2-5 Jahren</t>
  </si>
  <si>
    <t>Geringe Priorität: Umsetzung in 5-10 Jahren</t>
  </si>
  <si>
    <t>Keine Priorität</t>
  </si>
  <si>
    <t>BuildingUsageTypes:</t>
  </si>
  <si>
    <t>Mehrfamilienhaus</t>
  </si>
  <si>
    <t>Einfamilienhaus</t>
  </si>
  <si>
    <t>Hotel</t>
  </si>
  <si>
    <t>Büro/Verwaltung</t>
  </si>
  <si>
    <t>Schule</t>
  </si>
  <si>
    <t>Verkauf</t>
  </si>
  <si>
    <t>HotelType:</t>
  </si>
  <si>
    <t>ohne Stern, Pension, Gasthaus</t>
  </si>
  <si>
    <t>1 Stern</t>
  </si>
  <si>
    <t>2 Sterne</t>
  </si>
  <si>
    <t>3 Sterne</t>
  </si>
  <si>
    <t>4 Sterne</t>
  </si>
  <si>
    <t>5 Sterne und mehr</t>
  </si>
  <si>
    <t>Jugendheim/Hostel</t>
  </si>
  <si>
    <t>RestaurantType:</t>
  </si>
  <si>
    <t>Selbstbedienungsrestaurant</t>
  </si>
  <si>
    <t>Fastfood-Restaurant</t>
  </si>
  <si>
    <t>Kantine</t>
  </si>
  <si>
    <t>Bar</t>
  </si>
  <si>
    <t>Café</t>
  </si>
  <si>
    <t>Eiscafé</t>
  </si>
  <si>
    <t>ShopType:</t>
  </si>
  <si>
    <t>Discounter</t>
  </si>
  <si>
    <t>Supermarkt</t>
  </si>
  <si>
    <t>Gemischtwarenhandel</t>
  </si>
  <si>
    <t>Lebensmittelhandel</t>
  </si>
  <si>
    <t>Detailfachgeschäft</t>
  </si>
  <si>
    <t>Verkauf Möbel, Bau, Garten</t>
  </si>
  <si>
    <t>BuildingUsageSubTypes:</t>
  </si>
  <si>
    <t>---</t>
  </si>
  <si>
    <t>FacadeStructure:</t>
  </si>
  <si>
    <t>flächig, glatt</t>
  </si>
  <si>
    <t>normal gegliedert</t>
  </si>
  <si>
    <t>stark gegliedert</t>
  </si>
  <si>
    <t>Allgemeiner Zustand</t>
  </si>
  <si>
    <t>GeneralCondition:</t>
  </si>
  <si>
    <t>neuwertig</t>
  </si>
  <si>
    <t>gebraucht</t>
  </si>
  <si>
    <t>abgenutzt</t>
  </si>
  <si>
    <t>Lebensdauer erreicht</t>
  </si>
  <si>
    <t>Renovationsjahr</t>
  </si>
  <si>
    <t>U-Wert [W/(m²K)]</t>
  </si>
  <si>
    <t>Temp. Nachbarraum</t>
  </si>
  <si>
    <t>Temperaturzuschlag Nachbarraum</t>
  </si>
  <si>
    <t>WS3ExpertCodes:</t>
  </si>
  <si>
    <t>W-1</t>
  </si>
  <si>
    <t>W-2</t>
  </si>
  <si>
    <t>W-3</t>
  </si>
  <si>
    <t>W-4</t>
  </si>
  <si>
    <t>W-5</t>
  </si>
  <si>
    <t>W-6</t>
  </si>
  <si>
    <t>W-7</t>
  </si>
  <si>
    <t>W-8</t>
  </si>
  <si>
    <t>W-9</t>
  </si>
  <si>
    <t>W-10</t>
  </si>
  <si>
    <t>Wx-1</t>
  </si>
  <si>
    <t>Wx-2</t>
  </si>
  <si>
    <t>Wx-3</t>
  </si>
  <si>
    <t>Wx-4</t>
  </si>
  <si>
    <t>Wx-5</t>
  </si>
  <si>
    <t>Wx-6</t>
  </si>
  <si>
    <t>Wx-7</t>
  </si>
  <si>
    <t>Wx-8</t>
  </si>
  <si>
    <t>Wx-9</t>
  </si>
  <si>
    <t>Wx-10</t>
  </si>
  <si>
    <t>WallType:</t>
  </si>
  <si>
    <t>Aussenwand</t>
  </si>
  <si>
    <t>Hinterlüftete Fassade</t>
  </si>
  <si>
    <t>Gegen Unbeheizt (ungedämmt und/oder undicht)</t>
  </si>
  <si>
    <t>Gegen Beheizt</t>
  </si>
  <si>
    <t>Gegen Erdreich ≤ 2 m</t>
  </si>
  <si>
    <t>Gegen Erdreich &gt; 2 m</t>
  </si>
  <si>
    <t>Gegen Unbeheizt (gedämmt, luftdicht)</t>
  </si>
  <si>
    <t>Orientation:</t>
  </si>
  <si>
    <t>N</t>
  </si>
  <si>
    <t>NO</t>
  </si>
  <si>
    <t>O</t>
  </si>
  <si>
    <t>SO</t>
  </si>
  <si>
    <t>S</t>
  </si>
  <si>
    <t>SW</t>
  </si>
  <si>
    <t>W</t>
  </si>
  <si>
    <t>NW</t>
  </si>
  <si>
    <t>CalculationBase_NoMeter:</t>
  </si>
  <si>
    <t>Pauschal (pro Stück)</t>
  </si>
  <si>
    <t>Pro m²</t>
  </si>
  <si>
    <t>RoofType:</t>
  </si>
  <si>
    <t>Schrägdach, unbeheizt</t>
  </si>
  <si>
    <t>Schrägdach, teilbeheizt</t>
  </si>
  <si>
    <t>Schrägdach, vollbeheizt</t>
  </si>
  <si>
    <t>Flachdach</t>
  </si>
  <si>
    <t>Flachdach mit Attikageschoss</t>
  </si>
  <si>
    <t>Da-1</t>
  </si>
  <si>
    <t>Da-2</t>
  </si>
  <si>
    <t>Da-3</t>
  </si>
  <si>
    <t>Da-4</t>
  </si>
  <si>
    <t>Da-5</t>
  </si>
  <si>
    <t>Da-6</t>
  </si>
  <si>
    <t>Da-7</t>
  </si>
  <si>
    <t>Da-8</t>
  </si>
  <si>
    <t>Da-9</t>
  </si>
  <si>
    <t>Da-10</t>
  </si>
  <si>
    <t>De-1</t>
  </si>
  <si>
    <t>De-2</t>
  </si>
  <si>
    <t>De-3</t>
  </si>
  <si>
    <t>De-4</t>
  </si>
  <si>
    <t>De-5</t>
  </si>
  <si>
    <t>De-6</t>
  </si>
  <si>
    <t>De-7</t>
  </si>
  <si>
    <t>De-8</t>
  </si>
  <si>
    <t>De-9</t>
  </si>
  <si>
    <t>De-10</t>
  </si>
  <si>
    <t>RoofCeilingType:</t>
  </si>
  <si>
    <t>Steildach</t>
  </si>
  <si>
    <t>Flachdach/Terrasse</t>
  </si>
  <si>
    <t>Decke/Estrich geg Unbeheizt</t>
  </si>
  <si>
    <t>Decke/Estrich geg Beheizt</t>
  </si>
  <si>
    <t xml:space="preserve">Geg Unbeh. (Estrich/Dach ged. Ue </t>
  </si>
  <si>
    <t>Decke ≤ 2 m im Erdreich</t>
  </si>
  <si>
    <t>Decke gegen Erdreich &gt; 2 m</t>
  </si>
  <si>
    <t>OrientationHExtended:</t>
  </si>
  <si>
    <t>Horiz</t>
  </si>
  <si>
    <t xml:space="preserve"> </t>
  </si>
  <si>
    <t>WS4ExpertCodes:</t>
  </si>
  <si>
    <t>Fe-1</t>
  </si>
  <si>
    <t>Fe-2</t>
  </si>
  <si>
    <t>Fe-3</t>
  </si>
  <si>
    <t>Fe-4</t>
  </si>
  <si>
    <t>Fe-5</t>
  </si>
  <si>
    <t>Fe-6</t>
  </si>
  <si>
    <t>Fe-7</t>
  </si>
  <si>
    <t>Fe-8</t>
  </si>
  <si>
    <t>Fe-9</t>
  </si>
  <si>
    <t>Fe-10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</si>
  <si>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</si>
  <si>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</si>
  <si>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</si>
  <si>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</si>
  <si>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</si>
  <si>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</si>
  <si>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</si>
  <si>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</si>
  <si>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</si>
  <si>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</si>
  <si>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WallOpeningType:</t>
  </si>
  <si>
    <t>Tür</t>
  </si>
  <si>
    <t>Türe gegen angebauten Raum</t>
  </si>
  <si>
    <t>Fenster</t>
  </si>
  <si>
    <t>Fenster gegen angebauten Raum</t>
  </si>
  <si>
    <t>Geg Beheizt</t>
  </si>
  <si>
    <t>OrientationH:</t>
  </si>
  <si>
    <t>unbeheizt</t>
  </si>
  <si>
    <t>teilbeheizt</t>
  </si>
  <si>
    <t>vollbeheizt</t>
  </si>
  <si>
    <t>Bo-6</t>
  </si>
  <si>
    <t>Bo-7</t>
  </si>
  <si>
    <t>Bo-8</t>
  </si>
  <si>
    <t>Bo-9</t>
  </si>
  <si>
    <t>Bo-10</t>
  </si>
  <si>
    <t>Bx-1</t>
  </si>
  <si>
    <t>Bx-2</t>
  </si>
  <si>
    <t>Bx-3</t>
  </si>
  <si>
    <t>Bx-4</t>
  </si>
  <si>
    <t>Bx-5</t>
  </si>
  <si>
    <t>Bx-6</t>
  </si>
  <si>
    <t>Bx-7</t>
  </si>
  <si>
    <t>Bx-8</t>
  </si>
  <si>
    <t>Bx-9</t>
  </si>
  <si>
    <t>Bx-10</t>
  </si>
  <si>
    <t>FloorType:</t>
  </si>
  <si>
    <t>Gegen Aussen</t>
  </si>
  <si>
    <t>Gegen Unbeheizt (Keller im Erdreich) (ungedämmt und/oder undicht)</t>
  </si>
  <si>
    <t>Gegen Unbeheizt (K. teilw. im Erdreich) (ungedämmt und/oder undicht)</t>
  </si>
  <si>
    <t>Gegen Unbeheizt (K. teilw. im Erdreich) (gedämmt, luftdicht)</t>
  </si>
  <si>
    <t>Gegen Unbeheizt (Keller im Erdreich) (gedämmt, luftdicht)</t>
  </si>
  <si>
    <t>WS6ExpertCodes:</t>
  </si>
  <si>
    <t>WL-1</t>
  </si>
  <si>
    <t>WL-2</t>
  </si>
  <si>
    <t>WL-3</t>
  </si>
  <si>
    <t>WL-4</t>
  </si>
  <si>
    <t>WL-5</t>
  </si>
  <si>
    <t>WL-6</t>
  </si>
  <si>
    <t>WL-7</t>
  </si>
  <si>
    <t>WL-8</t>
  </si>
  <si>
    <t>WL-9</t>
  </si>
  <si>
    <t>WL-10</t>
  </si>
  <si>
    <t>WR-1</t>
  </si>
  <si>
    <t>WR-2</t>
  </si>
  <si>
    <t>WR-3</t>
  </si>
  <si>
    <t>WR-4</t>
  </si>
  <si>
    <t>WR-5</t>
  </si>
  <si>
    <t>WR-6</t>
  </si>
  <si>
    <t>WR-7</t>
  </si>
  <si>
    <t>WR-8</t>
  </si>
  <si>
    <t>WR-9</t>
  </si>
  <si>
    <t>WR-10</t>
  </si>
  <si>
    <t>ThermalBridgeType:</t>
  </si>
  <si>
    <t>Decke/Wand</t>
  </si>
  <si>
    <t>Gebäudesockel</t>
  </si>
  <si>
    <t>Balkon</t>
  </si>
  <si>
    <t>Fensteranschlag</t>
  </si>
  <si>
    <t>Boden/Kellerwand</t>
  </si>
  <si>
    <t>Dach/Aussenwand</t>
  </si>
  <si>
    <t>Rolladen</t>
  </si>
  <si>
    <t>Dachrand</t>
  </si>
  <si>
    <t>Innenwand/Aussenwand</t>
  </si>
  <si>
    <t>Stütze/Träger</t>
  </si>
  <si>
    <t>Benutzerdefiniert - Punktförmig</t>
  </si>
  <si>
    <t>Benutzerdefiniert - Linear</t>
  </si>
  <si>
    <t>LU-1</t>
  </si>
  <si>
    <t>LU-2</t>
  </si>
  <si>
    <t>LU-3</t>
  </si>
  <si>
    <t>LU-4</t>
  </si>
  <si>
    <t>LU-5</t>
  </si>
  <si>
    <t>LU-6</t>
  </si>
  <si>
    <t>LU-7</t>
  </si>
  <si>
    <t>LU-8</t>
  </si>
  <si>
    <t>LU-9</t>
  </si>
  <si>
    <t>LU-10</t>
  </si>
  <si>
    <t>StandardVentilationType:</t>
  </si>
  <si>
    <t>Externe Berechnung</t>
  </si>
  <si>
    <t>Fensterlüftung (manuell)</t>
  </si>
  <si>
    <t>Einfache Lüftungsanlage (mit Zu- und Abluft)</t>
  </si>
  <si>
    <t>Lüftungsanlage mit Lufterwärmung (WRG, mit Zu- und Abluft)</t>
  </si>
  <si>
    <t>Lüftungsanlage mit Abluft-Wärmepumpe (mit Zu- und Abluft)</t>
  </si>
  <si>
    <t xml:space="preserve">Einfache Abluftanlage (ohne WRG) </t>
  </si>
  <si>
    <t>Abluftanlage mit Abwärmenutzung (Abluft-Wärmepumpe)</t>
  </si>
  <si>
    <t>Einzelraumlüftung (mit WRG)</t>
  </si>
  <si>
    <t>Fensterlüftung (automatisch)</t>
  </si>
  <si>
    <t>HeatExchangerType:</t>
  </si>
  <si>
    <t>Keine Wärmerückgewinnung</t>
  </si>
  <si>
    <t>Kreuzstrom-Wärmetauscher</t>
  </si>
  <si>
    <t>Gegenstrom-Wärmetauscher</t>
  </si>
  <si>
    <t>Rotations-Wärmetauscher</t>
  </si>
  <si>
    <t>FanType:</t>
  </si>
  <si>
    <t>Ohne</t>
  </si>
  <si>
    <t>AC-Motor</t>
  </si>
  <si>
    <t>DC/EC-Motor</t>
  </si>
  <si>
    <t>CalculationBase_OnlyLump:</t>
  </si>
  <si>
    <t>EnergySources:</t>
  </si>
  <si>
    <t>Elektrizität (HT)</t>
  </si>
  <si>
    <t>Elektrizität (MT)</t>
  </si>
  <si>
    <t>Elektrizität (NT)</t>
  </si>
  <si>
    <t>Elektrizität (Produktion)</t>
  </si>
  <si>
    <t>Kohlebrickets</t>
  </si>
  <si>
    <t>Erdgas (inkl. Biogas)</t>
  </si>
  <si>
    <t>Heizöl</t>
  </si>
  <si>
    <t>Fernwärme Anteil fossil &lt;= 50 %</t>
  </si>
  <si>
    <t>Holzpellets</t>
  </si>
  <si>
    <t>Holzschnitzel</t>
  </si>
  <si>
    <t>Stückholz</t>
  </si>
  <si>
    <t>Thermische Sonnenenergie</t>
  </si>
  <si>
    <t>Elektrizität (Wärmepumpe)</t>
  </si>
  <si>
    <t>Fernwärme Anteil fossil &lt;= 25 %</t>
  </si>
  <si>
    <t>Fernwärme Anteil fossil &lt;= 75 %</t>
  </si>
  <si>
    <t>Fernwärme Anteil fossil &gt; 75 %</t>
  </si>
  <si>
    <t>HeatProducerOversize:</t>
  </si>
  <si>
    <t>1</t>
  </si>
  <si>
    <t>1.2</t>
  </si>
  <si>
    <t>1.5</t>
  </si>
  <si>
    <t>2</t>
  </si>
  <si>
    <t>3</t>
  </si>
  <si>
    <t>HeatProducerTypes:</t>
  </si>
  <si>
    <t>Ölfeuerung</t>
  </si>
  <si>
    <t>Ölfeuerung kondensierend</t>
  </si>
  <si>
    <t>Gasfeuerung</t>
  </si>
  <si>
    <t>Gasfeuerung kondensierend</t>
  </si>
  <si>
    <t>Holzfeuerung (automatisch)</t>
  </si>
  <si>
    <t>Holzfeuerung (handbeschickt)</t>
  </si>
  <si>
    <t>Pelletfeuerung (automatisch)</t>
  </si>
  <si>
    <t>Pelletfeuerung (handbeschickt)</t>
  </si>
  <si>
    <t>Fernwärme</t>
  </si>
  <si>
    <t>Wärmeversorgung mit BHKW</t>
  </si>
  <si>
    <t>Mini-BHKW</t>
  </si>
  <si>
    <t>Elektrospeicher- Zentralheizung</t>
  </si>
  <si>
    <t>Elektro direkt</t>
  </si>
  <si>
    <t>Elektro-Wassererwärmer</t>
  </si>
  <si>
    <t>Wärmepumpe, Aussenluft</t>
  </si>
  <si>
    <t>Wärmepumpe, Erdwärmesonde</t>
  </si>
  <si>
    <t>Wärmepumpe, Abwasser</t>
  </si>
  <si>
    <t>Wärmepumpe, Grundwasser, direkt</t>
  </si>
  <si>
    <t>Wärmepumpe, Grundwasser, indirekt</t>
  </si>
  <si>
    <t>Wärmepumpe Erdregister</t>
  </si>
  <si>
    <t>Lüftungsgerät mit Abluft / Zuluft - WP plus WRG</t>
  </si>
  <si>
    <t>Lüftungsgerät mit Abluft / Zuluft - WP ohne WRG</t>
  </si>
  <si>
    <t>Lüftungsgerät mit Abluft-Wärmepumpe (keine Zuluft)</t>
  </si>
  <si>
    <t>Kompakt-WP mit Zu- &amp; Abluft / WW plus WRG</t>
  </si>
  <si>
    <t>Kompakt-WP mit Zu- &amp; Abluft / WW ohne WRG</t>
  </si>
  <si>
    <t>Solarenergie thermisch</t>
  </si>
  <si>
    <t>Wärmepumpenboiler Trinkwarmwasser</t>
  </si>
  <si>
    <t>Holzofen als Zusatzheizung</t>
  </si>
  <si>
    <t>SuppliedDistributionSystems:</t>
  </si>
  <si>
    <t>Heizung (H)</t>
  </si>
  <si>
    <t>Warmwasser (WW)</t>
  </si>
  <si>
    <t>H + WW (ganzjährig)</t>
  </si>
  <si>
    <t>H + WW (nur Heizperiode)</t>
  </si>
  <si>
    <t>HeatingSupplyType:</t>
  </si>
  <si>
    <t>Radiatoren</t>
  </si>
  <si>
    <t>Flächenheizung</t>
  </si>
  <si>
    <t>HeatProducerCondition:</t>
  </si>
  <si>
    <t>Gut</t>
  </si>
  <si>
    <t>Mittel</t>
  </si>
  <si>
    <t>Schlecht</t>
  </si>
  <si>
    <t>InOutThermalEnvelope:</t>
  </si>
  <si>
    <t>Innerhalb thermischer Gebäudehülle</t>
  </si>
  <si>
    <t>Ausserhalb thermischer Gebäudehülle</t>
  </si>
  <si>
    <t>SP-1</t>
  </si>
  <si>
    <t>SP-2</t>
  </si>
  <si>
    <t>SP-3</t>
  </si>
  <si>
    <t>SP-4</t>
  </si>
  <si>
    <t>SP-5</t>
  </si>
  <si>
    <t>SP-6</t>
  </si>
  <si>
    <t>SP-7</t>
  </si>
  <si>
    <t>SP-8</t>
  </si>
  <si>
    <t>SP-9</t>
  </si>
  <si>
    <t>SP-10</t>
  </si>
  <si>
    <t>ReservoirType:</t>
  </si>
  <si>
    <t>Warmwasserspeicher</t>
  </si>
  <si>
    <t>Heizungsspeicher</t>
  </si>
  <si>
    <t>Kombispeicher</t>
  </si>
  <si>
    <t>Heizungsspeichervolumen in Liter:</t>
  </si>
  <si>
    <t>x</t>
  </si>
  <si>
    <t>Quality:</t>
  </si>
  <si>
    <t>Sehr gut</t>
  </si>
  <si>
    <t>Mittelmässig</t>
  </si>
  <si>
    <t>Ungenügend</t>
  </si>
  <si>
    <t>WS9ExpertCodes:</t>
  </si>
  <si>
    <t>HE-1</t>
  </si>
  <si>
    <t>HE-2</t>
  </si>
  <si>
    <t>HE-3</t>
  </si>
  <si>
    <t>HE-4</t>
  </si>
  <si>
    <t>HE-5</t>
  </si>
  <si>
    <t>HE-6</t>
  </si>
  <si>
    <t>HE-7</t>
  </si>
  <si>
    <t>HE-8</t>
  </si>
  <si>
    <t>HE-9</t>
  </si>
  <si>
    <t>HE-10</t>
  </si>
  <si>
    <t>HeatingType:</t>
  </si>
  <si>
    <t>zentral</t>
  </si>
  <si>
    <t>dezentral</t>
  </si>
  <si>
    <t>HeatEmission:</t>
  </si>
  <si>
    <t>Konvektion und Strahlung</t>
  </si>
  <si>
    <t>ExpertCodes:</t>
  </si>
  <si>
    <t>PartialBool:</t>
  </si>
  <si>
    <t>nein</t>
  </si>
  <si>
    <t>ja</t>
  </si>
  <si>
    <t>teilweise</t>
  </si>
  <si>
    <t>HeatingFlows:</t>
  </si>
  <si>
    <t>90/70</t>
  </si>
  <si>
    <t>70/55</t>
  </si>
  <si>
    <t>55/40</t>
  </si>
  <si>
    <t>50/38</t>
  </si>
  <si>
    <t>45/35</t>
  </si>
  <si>
    <t>40/32</t>
  </si>
  <si>
    <t>35/28</t>
  </si>
  <si>
    <t>30/25</t>
  </si>
  <si>
    <t>UnknownBool:</t>
  </si>
  <si>
    <t>unbekannt</t>
  </si>
  <si>
    <t>WS10ExpertCodes:</t>
  </si>
  <si>
    <t>WW-1</t>
  </si>
  <si>
    <t>WW-2</t>
  </si>
  <si>
    <t>WW-3</t>
  </si>
  <si>
    <t>WW-4</t>
  </si>
  <si>
    <t>WW-5</t>
  </si>
  <si>
    <t>WW-6</t>
  </si>
  <si>
    <t>WW-7</t>
  </si>
  <si>
    <t>WW-8</t>
  </si>
  <si>
    <t>WW-9</t>
  </si>
  <si>
    <t>WW-10</t>
  </si>
  <si>
    <t>WarmWaterWarmKeeping:</t>
  </si>
  <si>
    <t>Zirkulation</t>
  </si>
  <si>
    <t>Heizband</t>
  </si>
  <si>
    <t>keine</t>
  </si>
  <si>
    <t>kWh HS</t>
  </si>
  <si>
    <t>Bad/WC-Abluft</t>
  </si>
  <si>
    <t>Dampfabzug Abluft</t>
  </si>
  <si>
    <t>Dampfabzug Umluft</t>
  </si>
  <si>
    <t>Elektro-Backofen</t>
  </si>
  <si>
    <t>Elektro-Kochherd</t>
  </si>
  <si>
    <t>Gasbackofen</t>
  </si>
  <si>
    <t>Gaskochherd</t>
  </si>
  <si>
    <t>Geschirrspüler (mit Warmwasseranschluss)</t>
  </si>
  <si>
    <t>Geschirrspüler (ohne Warmwasseranschluss)</t>
  </si>
  <si>
    <t>Komfortlüftung mit WRG (pro Wohnung)</t>
  </si>
  <si>
    <t>Kühlschrank &lt; 160 l, mit Tiefkühlfach</t>
  </si>
  <si>
    <t>Kühlschrank &lt; 160 l, ohne Tiefkühlfach</t>
  </si>
  <si>
    <t>Kühlschrank &gt; 160 l, mit Tiefkühlfach</t>
  </si>
  <si>
    <t>Kühlschrank &gt; 160 l, ohne Tiefkühlfach</t>
  </si>
  <si>
    <t>Lift</t>
  </si>
  <si>
    <t>Raumlufttrockner</t>
  </si>
  <si>
    <t>Separates Gefriergerät (gross)</t>
  </si>
  <si>
    <t>Separates Gefriergerät (klein)</t>
  </si>
  <si>
    <t>Wäschetrocknung</t>
  </si>
  <si>
    <t>Waschmaschine (mit Warmwasseranschluss)</t>
  </si>
  <si>
    <t>Waschmaschine (ohne Warmwasseranschluss)</t>
  </si>
  <si>
    <t>WS12ExpertCodes:</t>
  </si>
  <si>
    <t>GE-1</t>
  </si>
  <si>
    <t>GE-2</t>
  </si>
  <si>
    <t>GE-3</t>
  </si>
  <si>
    <t>GE-4</t>
  </si>
  <si>
    <t>GE-5</t>
  </si>
  <si>
    <t>GE-6</t>
  </si>
  <si>
    <t>GE-7</t>
  </si>
  <si>
    <t>GE-8</t>
  </si>
  <si>
    <t>GE-9</t>
  </si>
  <si>
    <t>GE-10</t>
  </si>
  <si>
    <t>DeviceQuality:</t>
  </si>
  <si>
    <t>Standard</t>
  </si>
  <si>
    <t>Boolean:</t>
  </si>
  <si>
    <t>Ja</t>
  </si>
  <si>
    <t>Nein</t>
  </si>
  <si>
    <t>Aktuelle Nutzungsdaten</t>
  </si>
  <si>
    <t>WS13ExpertCodes:</t>
  </si>
  <si>
    <t>KE-1</t>
  </si>
  <si>
    <t>KE-2</t>
  </si>
  <si>
    <t>KE-3</t>
  </si>
  <si>
    <t>KE-4</t>
  </si>
  <si>
    <t>KE-5</t>
  </si>
  <si>
    <t>KE-6</t>
  </si>
  <si>
    <t>KE-7</t>
  </si>
  <si>
    <t>KE-8</t>
  </si>
  <si>
    <t>KE-9</t>
  </si>
  <si>
    <t>KE-10</t>
  </si>
  <si>
    <t>ExpansionDegrees:</t>
  </si>
  <si>
    <t>Bescheiden</t>
  </si>
  <si>
    <t>Hoch</t>
  </si>
  <si>
    <t>WS15ExpertCodes:</t>
  </si>
  <si>
    <t>BG-1</t>
  </si>
  <si>
    <t>BG-2</t>
  </si>
  <si>
    <t>BG-3</t>
  </si>
  <si>
    <t>BG-4</t>
  </si>
  <si>
    <t>BG-5</t>
  </si>
  <si>
    <t>BG-6</t>
  </si>
  <si>
    <t>BG-7</t>
  </si>
  <si>
    <t>BG-8</t>
  </si>
  <si>
    <t>BG-9</t>
  </si>
  <si>
    <t>BG-10</t>
  </si>
  <si>
    <t>ElectronicsQualities:</t>
  </si>
  <si>
    <t>Top Modern</t>
  </si>
  <si>
    <t>Modern</t>
  </si>
  <si>
    <t>Veraltet</t>
  </si>
  <si>
    <t>BL-1</t>
  </si>
  <si>
    <t>BL-2</t>
  </si>
  <si>
    <t>BL-3</t>
  </si>
  <si>
    <t>BL-4</t>
  </si>
  <si>
    <t>BL-5</t>
  </si>
  <si>
    <t>BL-6</t>
  </si>
  <si>
    <t>BL-7</t>
  </si>
  <si>
    <t>BL-8</t>
  </si>
  <si>
    <t>BL-9</t>
  </si>
  <si>
    <t>BL-10</t>
  </si>
  <si>
    <t>LightingQuality:</t>
  </si>
  <si>
    <t>75-100 % Eff-Leuchten mit Regelung</t>
  </si>
  <si>
    <t>75-100 % Eff-Leuchten</t>
  </si>
  <si>
    <t>25-75 % Eff-Leuchten</t>
  </si>
  <si>
    <t>0-25 % Eff-Leuchten</t>
  </si>
  <si>
    <t>WV-2</t>
  </si>
  <si>
    <t>WV-3</t>
  </si>
  <si>
    <t>WV-4</t>
  </si>
  <si>
    <t>WV-5</t>
  </si>
  <si>
    <t>WV-6</t>
  </si>
  <si>
    <t>WV-7</t>
  </si>
  <si>
    <t>WV-8</t>
  </si>
  <si>
    <t>WV-9</t>
  </si>
  <si>
    <t>WV-10</t>
  </si>
  <si>
    <t>nicht gebäudezugehöriger Verbraucher</t>
  </si>
  <si>
    <t>gebäudezugehöriger Verbraucher</t>
  </si>
  <si>
    <t>Elektrizitätsprod. ohne PVopti</t>
  </si>
  <si>
    <t>WS16ExpertCodes:</t>
  </si>
  <si>
    <t>EP-1</t>
  </si>
  <si>
    <t>EP-2</t>
  </si>
  <si>
    <t>EP-3</t>
  </si>
  <si>
    <t>EP-4</t>
  </si>
  <si>
    <t>EP-5</t>
  </si>
  <si>
    <t>EP-6</t>
  </si>
  <si>
    <t>EP-7</t>
  </si>
  <si>
    <t>EP-8</t>
  </si>
  <si>
    <t>EP-9</t>
  </si>
  <si>
    <t>EP-10</t>
  </si>
  <si>
    <t>ElectricityProducerType:</t>
  </si>
  <si>
    <t>PV</t>
  </si>
  <si>
    <t>WKK</t>
  </si>
  <si>
    <t>EM-1</t>
  </si>
  <si>
    <t>EnergyManagementSystemType:</t>
  </si>
  <si>
    <t>Kein EMS</t>
  </si>
  <si>
    <t>Einfaches EMS</t>
  </si>
  <si>
    <t>Zertifiziertes EMS (Minergie)</t>
  </si>
  <si>
    <t>ConsumerMeterType:</t>
  </si>
  <si>
    <t>Elektrizität</t>
  </si>
  <si>
    <t>Gas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</si>
</sst>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92" formatCode="0.0"/>
    <numFmt numFmtId="198" formatCode="0.00;[Red]0.00"/>
    <numFmt numFmtId="201" formatCode="0;[Red]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Segoe UI"/>
      <family val="2"/>
    </font>
    <font>
      <b/>
      <sz val="9"/>
      <color indexed="10"/>
      <name val="Segoe UI"/>
      <family val="2"/>
    </font>
    <font>
      <sz val="9"/>
      <color indexed="8"/>
      <name val="Segoe U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rgb="FFFA7D0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color rgb="FF7F7F7F"/>
      <name val="Calibri"/>
      <family val="2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2"/>
    </font>
    <font>
      <sz val="11"/>
      <color rgb="FFFA7D00"/>
      <name val="Calibri"/>
      <family val="2"/>
      <scheme val="minor"/>
    </font>
    <font>
      <sz val="11"/>
      <color rgb="FFFA7D00"/>
      <name val="Calibri"/>
      <family val="2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b/>
      <sz val="18"/>
      <color theme="3"/>
      <name val="Cambria"/>
      <family val="2"/>
      <scheme val="maj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indexed="1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</font>
  </fonts>
  <fills count="9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4" tint="0.59987182226020086"/>
        <bgColor indexed="64"/>
      </patternFill>
    </fill>
    <fill>
      <patternFill patternType="solid">
        <fgColor theme="4" tint="0.59984130375072486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4" tint="0.59978026673177287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5" tint="0.59987182226020086"/>
        <bgColor indexed="64"/>
      </patternFill>
    </fill>
    <fill>
      <patternFill patternType="solid">
        <fgColor theme="5" tint="0.59984130375072486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5" tint="0.59978026673177287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6" tint="0.59987182226020086"/>
        <bgColor indexed="64"/>
      </patternFill>
    </fill>
    <fill>
      <patternFill patternType="solid">
        <fgColor theme="6" tint="0.59984130375072486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6" tint="0.599780266731772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7" tint="0.59987182226020086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7" tint="0.599780266731772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8" tint="0.599780266731772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59987182226020086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9" tint="0.59978026673177287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start/>
      <end/>
      <top/>
      <bottom/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/>
      <end/>
      <top/>
      <bottom style="thick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/>
      <bottom style="medium">
        <color indexed="64"/>
      </bottom>
      <diagonal/>
    </border>
    <border>
      <start/>
      <end style="thin">
        <color indexed="64"/>
      </end>
      <top style="medium">
        <color indexed="64"/>
      </top>
      <bottom/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5422223578601"/>
      </bottom>
      <diagonal/>
    </border>
    <border>
      <start/>
      <end/>
      <top/>
      <bottom style="thick">
        <color theme="4" tint="0.49992370372631001"/>
      </bottom>
      <diagonal/>
    </border>
    <border>
      <start/>
      <end/>
      <top/>
      <bottom style="thick">
        <color theme="4" tint="0.49989318521683401"/>
      </bottom>
      <diagonal/>
    </border>
    <border>
      <start/>
      <end/>
      <top/>
      <bottom style="thick">
        <color theme="4" tint="0.49986266670735802"/>
      </bottom>
      <diagonal/>
    </border>
    <border>
      <start/>
      <end/>
      <top/>
      <bottom style="thick">
        <color theme="4" tint="0.49983214819788202"/>
      </bottom>
      <diagonal/>
    </border>
    <border>
      <start/>
      <end/>
      <top/>
      <bottom style="thick">
        <color theme="4" tint="0.49980162968840602"/>
      </bottom>
      <diagonal/>
    </border>
    <border>
      <start/>
      <end/>
      <top/>
      <bottom style="thick">
        <color theme="4" tint="0.49977111117893003"/>
      </bottom>
      <diagonal/>
    </border>
    <border>
      <start/>
      <end/>
      <top/>
      <bottom style="thick">
        <color theme="4" tint="0.49974059266945403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/>
      <bottom style="double">
        <color rgb="FFFF800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226">
    <xf numFmtId="0" fontId="0" fillId="0" borderId="0"/>
    <xf numFmtId="0" fontId="1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4" fillId="54" borderId="0" applyNumberFormat="0" applyBorder="0" applyAlignment="0" applyProtection="0"/>
    <xf numFmtId="0" fontId="14" fillId="55" borderId="0" applyNumberFormat="0" applyBorder="0" applyAlignment="0" applyProtection="0"/>
    <xf numFmtId="0" fontId="14" fillId="56" borderId="0" applyNumberFormat="0" applyBorder="0" applyAlignment="0" applyProtection="0"/>
    <xf numFmtId="0" fontId="14" fillId="57" borderId="0" applyNumberFormat="0" applyBorder="0" applyAlignment="0" applyProtection="0"/>
    <xf numFmtId="0" fontId="14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4" fillId="62" borderId="0" applyNumberFormat="0" applyBorder="0" applyAlignment="0" applyProtection="0"/>
    <xf numFmtId="0" fontId="14" fillId="63" borderId="0" applyNumberFormat="0" applyBorder="0" applyAlignment="0" applyProtection="0"/>
    <xf numFmtId="0" fontId="14" fillId="64" borderId="0" applyNumberFormat="0" applyBorder="0" applyAlignment="0" applyProtection="0"/>
    <xf numFmtId="0" fontId="14" fillId="65" borderId="0" applyNumberFormat="0" applyBorder="0" applyAlignment="0" applyProtection="0"/>
    <xf numFmtId="0" fontId="14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14" fillId="70" borderId="0" applyNumberFormat="0" applyBorder="0" applyAlignment="0" applyProtection="0"/>
    <xf numFmtId="0" fontId="14" fillId="71" borderId="0" applyNumberFormat="0" applyBorder="0" applyAlignment="0" applyProtection="0"/>
    <xf numFmtId="0" fontId="14" fillId="72" borderId="0" applyNumberFormat="0" applyBorder="0" applyAlignment="0" applyProtection="0"/>
    <xf numFmtId="0" fontId="14" fillId="73" borderId="0" applyNumberFormat="0" applyBorder="0" applyAlignment="0" applyProtection="0"/>
    <xf numFmtId="0" fontId="15" fillId="77" borderId="0" applyNumberFormat="0" applyBorder="0" applyAlignment="0" applyProtection="0"/>
    <xf numFmtId="0" fontId="3" fillId="77" borderId="0" applyNumberFormat="0" applyBorder="0" applyAlignment="0" applyProtection="0"/>
    <xf numFmtId="0" fontId="15" fillId="77" borderId="0" applyNumberFormat="0" applyBorder="0" applyAlignment="0" applyProtection="0"/>
    <xf numFmtId="0" fontId="15" fillId="78" borderId="0" applyNumberFormat="0" applyBorder="0" applyAlignment="0" applyProtection="0"/>
    <xf numFmtId="0" fontId="3" fillId="78" borderId="0" applyNumberFormat="0" applyBorder="0" applyAlignment="0" applyProtection="0"/>
    <xf numFmtId="0" fontId="15" fillId="78" borderId="0" applyNumberFormat="0" applyBorder="0" applyAlignment="0" applyProtection="0"/>
    <xf numFmtId="0" fontId="15" fillId="79" borderId="0" applyNumberFormat="0" applyBorder="0" applyAlignment="0" applyProtection="0"/>
    <xf numFmtId="0" fontId="3" fillId="79" borderId="0" applyNumberFormat="0" applyBorder="0" applyAlignment="0" applyProtection="0"/>
    <xf numFmtId="0" fontId="15" fillId="79" borderId="0" applyNumberFormat="0" applyBorder="0" applyAlignment="0" applyProtection="0"/>
    <xf numFmtId="0" fontId="15" fillId="80" borderId="0" applyNumberFormat="0" applyBorder="0" applyAlignment="0" applyProtection="0"/>
    <xf numFmtId="0" fontId="3" fillId="80" borderId="0" applyNumberFormat="0" applyBorder="0" applyAlignment="0" applyProtection="0"/>
    <xf numFmtId="0" fontId="15" fillId="80" borderId="0" applyNumberFormat="0" applyBorder="0" applyAlignment="0" applyProtection="0"/>
    <xf numFmtId="0" fontId="15" fillId="81" borderId="0" applyNumberFormat="0" applyBorder="0" applyAlignment="0" applyProtection="0"/>
    <xf numFmtId="0" fontId="3" fillId="81" borderId="0" applyNumberFormat="0" applyBorder="0" applyAlignment="0" applyProtection="0"/>
    <xf numFmtId="0" fontId="15" fillId="81" borderId="0" applyNumberFormat="0" applyBorder="0" applyAlignment="0" applyProtection="0"/>
    <xf numFmtId="0" fontId="15" fillId="82" borderId="0" applyNumberFormat="0" applyBorder="0" applyAlignment="0" applyProtection="0"/>
    <xf numFmtId="0" fontId="3" fillId="82" borderId="0" applyNumberFormat="0" applyBorder="0" applyAlignment="0" applyProtection="0"/>
    <xf numFmtId="0" fontId="15" fillId="82" borderId="0" applyNumberFormat="0" applyBorder="0" applyAlignment="0" applyProtection="0"/>
    <xf numFmtId="0" fontId="15" fillId="83" borderId="0" applyNumberFormat="0" applyBorder="0" applyAlignment="0" applyProtection="0"/>
    <xf numFmtId="0" fontId="3" fillId="83" borderId="0" applyNumberFormat="0" applyBorder="0" applyAlignment="0" applyProtection="0"/>
    <xf numFmtId="0" fontId="15" fillId="83" borderId="0" applyNumberFormat="0" applyBorder="0" applyAlignment="0" applyProtection="0"/>
    <xf numFmtId="0" fontId="15" fillId="84" borderId="0" applyNumberFormat="0" applyBorder="0" applyAlignment="0" applyProtection="0"/>
    <xf numFmtId="0" fontId="3" fillId="84" borderId="0" applyNumberFormat="0" applyBorder="0" applyAlignment="0" applyProtection="0"/>
    <xf numFmtId="0" fontId="15" fillId="84" borderId="0" applyNumberFormat="0" applyBorder="0" applyAlignment="0" applyProtection="0"/>
    <xf numFmtId="0" fontId="15" fillId="85" borderId="0" applyNumberFormat="0" applyBorder="0" applyAlignment="0" applyProtection="0"/>
    <xf numFmtId="0" fontId="3" fillId="85" borderId="0" applyNumberFormat="0" applyBorder="0" applyAlignment="0" applyProtection="0"/>
    <xf numFmtId="0" fontId="15" fillId="85" borderId="0" applyNumberFormat="0" applyBorder="0" applyAlignment="0" applyProtection="0"/>
    <xf numFmtId="0" fontId="15" fillId="86" borderId="0" applyNumberFormat="0" applyBorder="0" applyAlignment="0" applyProtection="0"/>
    <xf numFmtId="0" fontId="3" fillId="86" borderId="0" applyNumberFormat="0" applyBorder="0" applyAlignment="0" applyProtection="0"/>
    <xf numFmtId="0" fontId="15" fillId="86" borderId="0" applyNumberFormat="0" applyBorder="0" applyAlignment="0" applyProtection="0"/>
    <xf numFmtId="0" fontId="15" fillId="87" borderId="0" applyNumberFormat="0" applyBorder="0" applyAlignment="0" applyProtection="0"/>
    <xf numFmtId="0" fontId="3" fillId="87" borderId="0" applyNumberFormat="0" applyBorder="0" applyAlignment="0" applyProtection="0"/>
    <xf numFmtId="0" fontId="15" fillId="87" borderId="0" applyNumberFormat="0" applyBorder="0" applyAlignment="0" applyProtection="0"/>
    <xf numFmtId="0" fontId="15" fillId="88" borderId="0" applyNumberFormat="0" applyBorder="0" applyAlignment="0" applyProtection="0"/>
    <xf numFmtId="0" fontId="3" fillId="88" borderId="0" applyNumberFormat="0" applyBorder="0" applyAlignment="0" applyProtection="0"/>
    <xf numFmtId="0" fontId="15" fillId="88" borderId="0" applyNumberFormat="0" applyBorder="0" applyAlignment="0" applyProtection="0"/>
    <xf numFmtId="0" fontId="16" fillId="89" borderId="0" applyNumberFormat="0" applyBorder="0" applyAlignment="0" applyProtection="0"/>
    <xf numFmtId="0" fontId="17" fillId="89" borderId="0" applyNumberFormat="0" applyBorder="0" applyAlignment="0" applyProtection="0"/>
    <xf numFmtId="0" fontId="16" fillId="89" borderId="0" applyNumberFormat="0" applyBorder="0" applyAlignment="0" applyProtection="0"/>
    <xf numFmtId="0" fontId="18" fillId="90" borderId="44" applyNumberFormat="0" applyAlignment="0" applyProtection="0"/>
    <xf numFmtId="0" fontId="19" fillId="90" borderId="44" applyNumberFormat="0" applyAlignment="0" applyProtection="0"/>
    <xf numFmtId="0" fontId="18" fillId="90" borderId="44" applyNumberFormat="0" applyAlignment="0" applyProtection="0"/>
    <xf numFmtId="0" fontId="20" fillId="91" borderId="45" applyNumberFormat="0" applyAlignment="0" applyProtection="0"/>
    <xf numFmtId="0" fontId="4" fillId="91" borderId="45" applyNumberFormat="0" applyAlignment="0" applyProtection="0"/>
    <xf numFmtId="0" fontId="20" fillId="91" borderId="45" applyNumberFormat="0" applyAlignment="0" applyProtection="0"/>
    <xf numFmtId="43" fontId="14" fillId="0" borderId="0" applyFill="0" applyBorder="0" applyAlignment="0" applyProtection="0"/>
    <xf numFmtId="43" fontId="14" fillId="0" borderId="0" applyFill="0" applyBorder="0" applyAlignment="0" applyProtection="0"/>
    <xf numFmtId="43" fontId="14" fillId="0" borderId="0" applyFill="0" applyBorder="0" applyAlignment="0" applyProtection="0"/>
    <xf numFmtId="43" fontId="14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92" borderId="0" applyNumberFormat="0" applyBorder="0" applyAlignment="0" applyProtection="0"/>
    <xf numFmtId="0" fontId="24" fillId="92" borderId="0" applyNumberFormat="0" applyBorder="0" applyAlignment="0" applyProtection="0"/>
    <xf numFmtId="0" fontId="23" fillId="92" borderId="0" applyNumberFormat="0" applyBorder="0" applyAlignment="0" applyProtection="0"/>
    <xf numFmtId="0" fontId="25" fillId="0" borderId="46" applyNumberFormat="0" applyFill="0" applyAlignment="0" applyProtection="0"/>
    <xf numFmtId="0" fontId="26" fillId="0" borderId="46" applyNumberFormat="0" applyFill="0" applyAlignment="0" applyProtection="0"/>
    <xf numFmtId="0" fontId="27" fillId="0" borderId="47" applyNumberFormat="0" applyFill="0" applyAlignment="0" applyProtection="0"/>
    <xf numFmtId="0" fontId="28" fillId="0" borderId="48" applyNumberFormat="0" applyFill="0" applyAlignment="0" applyProtection="0"/>
    <xf numFmtId="0" fontId="28" fillId="0" borderId="49" applyNumberFormat="0" applyFill="0" applyAlignment="0" applyProtection="0"/>
    <xf numFmtId="0" fontId="28" fillId="0" borderId="50" applyNumberFormat="0" applyFill="0" applyAlignment="0" applyProtection="0"/>
    <xf numFmtId="0" fontId="28" fillId="0" borderId="51" applyNumberFormat="0" applyFill="0" applyAlignment="0" applyProtection="0"/>
    <xf numFmtId="0" fontId="28" fillId="0" borderId="52" applyNumberFormat="0" applyFill="0" applyAlignment="0" applyProtection="0"/>
    <xf numFmtId="0" fontId="28" fillId="0" borderId="53" applyNumberFormat="0" applyFill="0" applyAlignment="0" applyProtection="0"/>
    <xf numFmtId="0" fontId="28" fillId="0" borderId="54" applyNumberFormat="0" applyFill="0" applyAlignment="0" applyProtection="0"/>
    <xf numFmtId="0" fontId="27" fillId="0" borderId="48" applyNumberFormat="0" applyFill="0" applyAlignment="0" applyProtection="0"/>
    <xf numFmtId="0" fontId="27" fillId="0" borderId="49" applyNumberFormat="0" applyFill="0" applyAlignment="0" applyProtection="0"/>
    <xf numFmtId="0" fontId="27" fillId="0" borderId="50" applyNumberFormat="0" applyFill="0" applyAlignment="0" applyProtection="0"/>
    <xf numFmtId="0" fontId="27" fillId="0" borderId="51" applyNumberFormat="0" applyFill="0" applyAlignment="0" applyProtection="0"/>
    <xf numFmtId="0" fontId="29" fillId="0" borderId="55" applyNumberFormat="0" applyFill="0" applyAlignment="0" applyProtection="0"/>
    <xf numFmtId="0" fontId="30" fillId="0" borderId="55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2" fillId="2" borderId="44" applyNumberFormat="0" applyAlignment="0" applyProtection="0"/>
    <xf numFmtId="0" fontId="33" fillId="2" borderId="44" applyNumberFormat="0" applyAlignment="0" applyProtection="0"/>
    <xf numFmtId="0" fontId="32" fillId="2" borderId="44" applyNumberFormat="0" applyAlignment="0" applyProtection="0"/>
    <xf numFmtId="0" fontId="34" fillId="0" borderId="56" applyNumberFormat="0" applyFill="0" applyAlignment="0" applyProtection="0"/>
    <xf numFmtId="0" fontId="35" fillId="0" borderId="56" applyNumberFormat="0" applyFill="0" applyAlignment="0" applyProtection="0"/>
    <xf numFmtId="0" fontId="36" fillId="93" borderId="0" applyNumberFormat="0" applyBorder="0" applyAlignment="0" applyProtection="0"/>
    <xf numFmtId="0" fontId="37" fillId="93" borderId="0" applyNumberFormat="0" applyBorder="0" applyAlignment="0" applyProtection="0"/>
    <xf numFmtId="0" fontId="36" fillId="93" borderId="0" applyNumberFormat="0" applyBorder="0" applyAlignment="0" applyProtection="0"/>
    <xf numFmtId="0" fontId="1" fillId="0" borderId="0"/>
    <xf numFmtId="0" fontId="14" fillId="3" borderId="57" applyNumberFormat="0" applyAlignment="0" applyProtection="0"/>
    <xf numFmtId="0" fontId="1" fillId="3" borderId="57" applyNumberFormat="0" applyFont="0" applyAlignment="0" applyProtection="0"/>
    <xf numFmtId="0" fontId="14" fillId="3" borderId="57" applyNumberFormat="0" applyAlignment="0" applyProtection="0"/>
    <xf numFmtId="0" fontId="38" fillId="90" borderId="58" applyNumberFormat="0" applyAlignment="0" applyProtection="0"/>
    <xf numFmtId="0" fontId="39" fillId="90" borderId="58" applyNumberFormat="0" applyAlignment="0" applyProtection="0"/>
    <xf numFmtId="0" fontId="38" fillId="90" borderId="58" applyNumberFormat="0" applyAlignment="0" applyProtection="0"/>
    <xf numFmtId="9" fontId="14" fillId="0" borderId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59" applyNumberFormat="0" applyFill="0" applyAlignment="0" applyProtection="0"/>
    <xf numFmtId="0" fontId="6" fillId="0" borderId="59" applyNumberFormat="0" applyFill="0" applyAlignment="0" applyProtection="0"/>
    <xf numFmtId="0" fontId="4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3" fillId="0" borderId="0" applyNumberFormat="0" applyFill="0" applyBorder="0" applyAlignment="0" applyProtection="0"/>
  </cellStyleXfs>
  <cellXfs count="229">
    <xf numFmtId="0" fontId="0" fillId="0" borderId="0" xfId="0" applyFont="1" applyAlignment="1"/>
    <xf numFmtId="0" fontId="44" fillId="0" borderId="0" xfId="0" applyFont="1" applyAlignment="1"/>
    <xf numFmtId="0" fontId="44" fillId="0" borderId="0" xfId="0" applyFont="1" applyFill="1" applyBorder="1" applyAlignment="1"/>
    <xf numFmtId="0" fontId="44" fillId="0" borderId="0" xfId="0" applyFont="1" applyAlignment="1">
      <alignment wrapText="1"/>
    </xf>
    <xf numFmtId="1" fontId="44" fillId="0" borderId="0" xfId="0" applyNumberFormat="1" applyFont="1" applyAlignment="1"/>
    <xf numFmtId="192" fontId="44" fillId="0" borderId="0" xfId="0" applyNumberFormat="1" applyFont="1" applyAlignment="1"/>
    <xf numFmtId="0" fontId="44" fillId="0" borderId="0" xfId="0" applyFont="1" applyBorder="1" applyAlignment="1"/>
    <xf numFmtId="0" fontId="44" fillId="4" borderId="1" xfId="0" applyFont="1" applyFill="1" applyBorder="1" applyAlignment="1">
      <alignment horizontal="left" indent="1"/>
    </xf>
    <xf numFmtId="0" fontId="44" fillId="4" borderId="2" xfId="0" applyFont="1" applyFill="1" applyBorder="1" applyAlignment="1">
      <alignment horizontal="left" indent="1"/>
    </xf>
    <xf numFmtId="0" fontId="44" fillId="4" borderId="0" xfId="0" applyFont="1" applyFill="1" applyBorder="1" applyAlignment="1">
      <alignment horizontal="left" indent="1"/>
    </xf>
    <xf numFmtId="0" fontId="44" fillId="4" borderId="3" xfId="0" applyFont="1" applyFill="1" applyBorder="1" applyAlignment="1">
      <alignment horizontal="left" indent="1"/>
    </xf>
    <xf numFmtId="0" fontId="44" fillId="4" borderId="0" xfId="0" applyFont="1" applyFill="1" applyAlignment="1"/>
    <xf numFmtId="0" fontId="44" fillId="4" borderId="0" xfId="0" applyFont="1" applyFill="1" applyAlignment="1">
      <alignment horizontal="left"/>
    </xf>
    <xf numFmtId="0" fontId="45" fillId="4" borderId="0" xfId="0" applyFont="1" applyFill="1" applyAlignment="1"/>
    <xf numFmtId="0" fontId="44" fillId="4" borderId="4" xfId="0" applyFont="1" applyFill="1" applyBorder="1" applyAlignment="1">
      <alignment horizontal="left" indent="1"/>
    </xf>
    <xf numFmtId="1" fontId="44" fillId="4" borderId="4" xfId="0" applyNumberFormat="1" applyFont="1" applyFill="1" applyBorder="1" applyAlignment="1">
      <alignment horizontal="left" indent="1"/>
    </xf>
    <xf numFmtId="192" fontId="44" fillId="4" borderId="4" xfId="0" applyNumberFormat="1" applyFont="1" applyFill="1" applyBorder="1" applyAlignment="1">
      <alignment horizontal="left" indent="1"/>
    </xf>
    <xf numFmtId="0" fontId="44" fillId="61" borderId="4" xfId="0" applyFont="1" applyFill="1" applyBorder="1" applyAlignment="1">
      <alignment horizontal="left" vertical="center" wrapText="1" indent="1"/>
    </xf>
    <xf numFmtId="0" fontId="44" fillId="4" borderId="5" xfId="0" applyFont="1" applyFill="1" applyBorder="1" applyAlignment="1">
      <alignment horizontal="left" vertical="top" wrapText="1"/>
    </xf>
    <xf numFmtId="0" fontId="44" fillId="4" borderId="6" xfId="0" applyFont="1" applyFill="1" applyBorder="1" applyAlignment="1">
      <alignment horizontal="left" vertical="top" wrapText="1"/>
    </xf>
    <xf numFmtId="0" fontId="2" fillId="0" borderId="0" xfId="0" applyFont="1" applyAlignment="1"/>
    <xf numFmtId="2" fontId="44" fillId="0" borderId="0" xfId="0" applyNumberFormat="1" applyFont="1" applyAlignment="1"/>
    <xf numFmtId="2" fontId="44" fillId="0" borderId="0" xfId="0" applyNumberFormat="1" applyFont="1" applyFill="1" applyBorder="1" applyAlignment="1"/>
    <xf numFmtId="9" fontId="44" fillId="0" borderId="0" xfId="216" applyFont="1" applyFill="1" applyBorder="1" applyAlignment="1"/>
    <xf numFmtId="9" fontId="44" fillId="0" borderId="0" xfId="216" applyFont="1" applyAlignment="1"/>
    <xf numFmtId="2" fontId="2" fillId="0" borderId="0" xfId="0" applyNumberFormat="1" applyFont="1" applyAlignment="1"/>
    <xf numFmtId="0" fontId="44" fillId="0" borderId="0" xfId="0" applyNumberFormat="1" applyFont="1" applyFill="1" applyBorder="1" applyAlignment="1"/>
    <xf numFmtId="0" fontId="44" fillId="0" borderId="0" xfId="216" applyNumberFormat="1" applyFont="1" applyFill="1" applyBorder="1" applyAlignment="1"/>
    <xf numFmtId="0" fontId="44" fillId="0" borderId="0" xfId="0" applyNumberFormat="1" applyFont="1" applyBorder="1" applyAlignment="1"/>
    <xf numFmtId="0" fontId="44" fillId="0" borderId="0" xfId="0" applyNumberFormat="1" applyFont="1" applyAlignment="1"/>
    <xf numFmtId="10" fontId="44" fillId="0" borderId="0" xfId="0" applyNumberFormat="1" applyFont="1" applyAlignment="1"/>
    <xf numFmtId="49" fontId="44" fillId="0" borderId="0" xfId="216" applyNumberFormat="1" applyFont="1" applyFill="1" applyBorder="1" applyAlignment="1"/>
    <xf numFmtId="0" fontId="44" fillId="4" borderId="0" xfId="0" applyFont="1" applyFill="1" applyBorder="1" applyAlignment="1"/>
    <xf numFmtId="0" fontId="46" fillId="4" borderId="4" xfId="199" applyFont="1" applyFill="1" applyBorder="1" applyAlignment="1">
      <alignment horizontal="left" indent="1"/>
    </xf>
    <xf numFmtId="0" fontId="44" fillId="0" borderId="0" xfId="0" applyFont="1" applyAlignment="1">
      <alignment wrapText="1" shrinkToFit="1"/>
    </xf>
    <xf numFmtId="0" fontId="44" fillId="0" borderId="0" xfId="216" applyNumberFormat="1" applyFont="1" applyAlignment="1"/>
    <xf numFmtId="0" fontId="0" fillId="0" borderId="7" xfId="0" applyFont="1" applyBorder="1" applyAlignment="1"/>
    <xf numFmtId="0" fontId="44" fillId="0" borderId="0" xfId="0" applyFont="1" applyBorder="1" applyAlignment="1">
      <alignment horizontal="center"/>
    </xf>
    <xf numFmtId="2" fontId="44" fillId="0" borderId="0" xfId="0" applyNumberFormat="1" applyFont="1" applyBorder="1" applyAlignment="1">
      <alignment horizontal="center"/>
    </xf>
    <xf numFmtId="2" fontId="44" fillId="0" borderId="0" xfId="0" applyNumberFormat="1" applyFont="1" applyAlignment="1">
      <alignment horizontal="left" vertical="top" wrapText="1"/>
    </xf>
    <xf numFmtId="0" fontId="44" fillId="0" borderId="0" xfId="0" applyNumberFormat="1" applyFont="1" applyAlignment="1">
      <alignment vertical="center"/>
    </xf>
    <xf numFmtId="0" fontId="2" fillId="0" borderId="0" xfId="0" applyFont="1" applyAlignment="1">
      <alignment wrapText="1"/>
    </xf>
    <xf numFmtId="1" fontId="2" fillId="0" borderId="0" xfId="0" applyNumberFormat="1" applyFont="1" applyAlignment="1"/>
    <xf numFmtId="0" fontId="2" fillId="0" borderId="8" xfId="0" applyNumberFormat="1" applyFont="1" applyBorder="1" applyAlignment="1"/>
    <xf numFmtId="0" fontId="2" fillId="0" borderId="8" xfId="0" applyNumberFormat="1" applyFont="1" applyFill="1" applyBorder="1" applyAlignment="1"/>
    <xf numFmtId="10" fontId="2" fillId="0" borderId="8" xfId="0" applyNumberFormat="1" applyFont="1" applyFill="1" applyBorder="1" applyAlignment="1"/>
    <xf numFmtId="10" fontId="2" fillId="0" borderId="8" xfId="0" applyNumberFormat="1" applyFont="1" applyFill="1" applyBorder="1" applyAlignment="1">
      <alignment wrapText="1"/>
    </xf>
    <xf numFmtId="0" fontId="2" fillId="0" borderId="0" xfId="0" applyNumberFormat="1" applyFont="1" applyBorder="1" applyAlignment="1"/>
    <xf numFmtId="0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Alignment="1"/>
    <xf numFmtId="0" fontId="8" fillId="0" borderId="9" xfId="0" applyFont="1" applyFill="1" applyBorder="1" applyAlignment="1">
      <alignment horizontal="left"/>
    </xf>
    <xf numFmtId="0" fontId="44" fillId="0" borderId="0" xfId="0" applyNumberFormat="1" applyFont="1" applyFill="1" applyBorder="1" applyAlignment="1"/>
    <xf numFmtId="49" fontId="44" fillId="4" borderId="10" xfId="0" applyNumberFormat="1" applyFont="1" applyFill="1" applyBorder="1" applyAlignment="1">
      <alignment horizontal="left" indent="1"/>
    </xf>
    <xf numFmtId="0" fontId="44" fillId="0" borderId="11" xfId="0" applyFont="1" applyBorder="1" applyAlignment="1">
      <alignment horizontal="left" vertical="top" wrapText="1"/>
    </xf>
    <xf numFmtId="22" fontId="44" fillId="4" borderId="12" xfId="0" applyNumberFormat="1" applyFont="1" applyFill="1" applyBorder="1" applyAlignment="1">
      <alignment horizontal="left"/>
    </xf>
    <xf numFmtId="0" fontId="44" fillId="0" borderId="0" xfId="0" applyFont="1" applyBorder="1" applyAlignment="1">
      <alignment vertical="top" wrapText="1"/>
    </xf>
    <xf numFmtId="9" fontId="44" fillId="0" borderId="0" xfId="0" applyNumberFormat="1" applyFont="1" applyAlignment="1"/>
    <xf numFmtId="0" fontId="1" fillId="0" borderId="0" xfId="0" applyFont="1" applyAlignment="1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13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0" xfId="0" applyFont="1" applyAlignment="1"/>
    <xf numFmtId="0" fontId="0" fillId="0" borderId="14" xfId="0" applyFont="1" applyBorder="1" applyAlignment="1">
      <alignment horizontal="left"/>
    </xf>
    <xf numFmtId="9" fontId="14" fillId="0" borderId="15" xfId="216" applyFont="1" applyBorder="1" applyAlignment="1">
      <alignment horizontal="left"/>
    </xf>
    <xf numFmtId="0" fontId="2" fillId="62" borderId="4" xfId="0" applyFont="1" applyFill="1" applyBorder="1" applyAlignment="1">
      <alignment horizontal="left" vertical="center" wrapText="1"/>
    </xf>
    <xf numFmtId="1" fontId="2" fillId="4" borderId="1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7" xfId="0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19" xfId="0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9" fontId="14" fillId="0" borderId="0" xfId="216" applyFont="1" applyBorder="1" applyAlignment="1">
      <alignment horizontal="left"/>
    </xf>
    <xf numFmtId="0" fontId="0" fillId="0" borderId="21" xfId="0" applyFont="1" applyBorder="1" applyAlignment="1">
      <alignment horizontal="left"/>
    </xf>
    <xf numFmtId="9" fontId="14" fillId="0" borderId="22" xfId="216" applyFont="1" applyBorder="1" applyAlignment="1">
      <alignment horizontal="left"/>
    </xf>
    <xf numFmtId="9" fontId="44" fillId="0" borderId="0" xfId="216" applyNumberFormat="1" applyFont="1" applyFill="1" applyBorder="1" applyAlignment="1"/>
    <xf numFmtId="192" fontId="44" fillId="0" borderId="0" xfId="216" applyNumberFormat="1" applyFont="1" applyFill="1" applyBorder="1" applyAlignment="1"/>
    <xf numFmtId="1" fontId="44" fillId="0" borderId="0" xfId="216" applyNumberFormat="1" applyFont="1" applyFill="1" applyBorder="1" applyAlignment="1"/>
    <xf numFmtId="198" fontId="44" fillId="0" borderId="0" xfId="0" applyNumberFormat="1" applyFont="1" applyAlignment="1"/>
    <xf numFmtId="201" fontId="44" fillId="0" borderId="0" xfId="0" applyNumberFormat="1" applyFont="1" applyAlignment="1"/>
    <xf numFmtId="0" fontId="44" fillId="0" borderId="9" xfId="0" applyFont="1" applyFill="1" applyBorder="1" applyAlignment="1"/>
    <xf numFmtId="0" fontId="44" fillId="0" borderId="0" xfId="0" applyFont="1" applyAlignment="1">
      <alignment horizontal="left"/>
    </xf>
    <xf numFmtId="0" fontId="44" fillId="0" borderId="0" xfId="0" applyFont="1" applyFill="1" applyBorder="1" applyAlignment="1">
      <alignment horizontal="left"/>
    </xf>
    <xf numFmtId="0" fontId="45" fillId="21" borderId="23" xfId="0" applyFont="1" applyFill="1" applyBorder="1" applyAlignment="1"/>
    <xf numFmtId="0" fontId="44" fillId="0" borderId="3" xfId="0" applyFont="1" applyBorder="1" applyAlignment="1"/>
    <xf numFmtId="0" fontId="45" fillId="21" borderId="3" xfId="0" applyFont="1" applyFill="1" applyBorder="1" applyAlignment="1"/>
    <xf numFmtId="0" fontId="8" fillId="22" borderId="3" xfId="0" applyFont="1" applyFill="1" applyBorder="1" applyAlignment="1"/>
    <xf numFmtId="0" fontId="0" fillId="0" borderId="0" xfId="0" applyFont="1" applyAlignment="1"/>
    <xf numFmtId="0" fontId="0" fillId="0" borderId="0" xfId="0" applyFont="1" applyAlignment="1"/>
    <xf numFmtId="0" fontId="44" fillId="0" borderId="0" xfId="0" applyNumberFormat="1" applyFont="1" applyFill="1" applyBorder="1" applyAlignment="1"/>
    <xf numFmtId="0" fontId="44" fillId="0" borderId="0" xfId="0" applyFont="1" applyFill="1" applyBorder="1" applyAlignment="1">
      <alignment horizontal="left"/>
    </xf>
    <xf numFmtId="0" fontId="44" fillId="21" borderId="24" xfId="0" applyFont="1" applyFill="1" applyBorder="1" applyAlignment="1">
      <alignment vertical="center" wrapText="1"/>
    </xf>
    <xf numFmtId="198" fontId="44" fillId="21" borderId="24" xfId="0" applyNumberFormat="1" applyFont="1" applyFill="1" applyBorder="1" applyAlignment="1">
      <alignment vertical="center" wrapText="1"/>
    </xf>
    <xf numFmtId="0" fontId="44" fillId="21" borderId="24" xfId="0" applyFont="1" applyFill="1" applyBorder="1" applyAlignment="1">
      <alignment horizontal="left" vertical="center" wrapText="1"/>
    </xf>
    <xf numFmtId="0" fontId="44" fillId="21" borderId="24" xfId="0" applyFont="1" applyFill="1" applyBorder="1" applyAlignment="1">
      <alignment vertical="center" wrapText="1" shrinkToFit="1"/>
    </xf>
    <xf numFmtId="0" fontId="44" fillId="0" borderId="0" xfId="0" applyNumberFormat="1" applyFont="1" applyFill="1" applyBorder="1" applyAlignment="1">
      <alignment horizontal="left"/>
    </xf>
    <xf numFmtId="0" fontId="44" fillId="0" borderId="0" xfId="0" applyNumberFormat="1" applyFont="1" applyAlignment="1"/>
    <xf numFmtId="0" fontId="44" fillId="0" borderId="0" xfId="0" applyNumberFormat="1" applyFont="1" applyAlignment="1">
      <alignment horizontal="left"/>
    </xf>
    <xf numFmtId="2" fontId="44" fillId="0" borderId="0" xfId="0" applyNumberFormat="1" applyFont="1" applyFill="1" applyBorder="1" applyAlignment="1"/>
    <xf numFmtId="0" fontId="47" fillId="0" borderId="0" xfId="0" applyFont="1" applyAlignment="1"/>
    <xf numFmtId="0" fontId="47" fillId="0" borderId="0" xfId="0" applyFont="1" applyAlignment="1">
      <alignment wrapText="1"/>
    </xf>
    <xf numFmtId="0" fontId="45" fillId="62" borderId="25" xfId="0" applyFont="1" applyFill="1" applyBorder="1" applyAlignment="1">
      <alignment vertical="center" wrapText="1"/>
    </xf>
    <xf numFmtId="0" fontId="44" fillId="61" borderId="26" xfId="0" applyFont="1" applyFill="1" applyBorder="1" applyAlignment="1">
      <alignment horizontal="left" vertical="center" wrapText="1" indent="1"/>
    </xf>
    <xf numFmtId="0" fontId="44" fillId="61" borderId="1" xfId="0" applyFont="1" applyFill="1" applyBorder="1" applyAlignment="1">
      <alignment horizontal="left" vertical="center" wrapText="1" indent="1"/>
    </xf>
    <xf numFmtId="0" fontId="44" fillId="61" borderId="1" xfId="0" applyFont="1" applyFill="1" applyBorder="1" applyAlignment="1">
      <alignment vertical="center" wrapText="1"/>
    </xf>
    <xf numFmtId="0" fontId="44" fillId="61" borderId="26" xfId="0" applyFont="1" applyFill="1" applyBorder="1" applyAlignment="1">
      <alignment vertical="top" wrapText="1"/>
    </xf>
    <xf numFmtId="0" fontId="44" fillId="61" borderId="1" xfId="0" applyFont="1" applyFill="1" applyBorder="1" applyAlignment="1">
      <alignment horizontal="left" vertical="top" wrapText="1"/>
    </xf>
    <xf numFmtId="0" fontId="44" fillId="21" borderId="27" xfId="0" applyFont="1" applyFill="1" applyBorder="1" applyAlignment="1">
      <alignment vertical="center" wrapText="1"/>
    </xf>
    <xf numFmtId="0" fontId="44" fillId="21" borderId="16" xfId="0" applyFont="1" applyFill="1" applyBorder="1" applyAlignment="1">
      <alignment vertical="center" wrapText="1"/>
    </xf>
    <xf numFmtId="0" fontId="45" fillId="21" borderId="18" xfId="0" applyFont="1" applyFill="1" applyBorder="1" applyAlignment="1">
      <alignment vertical="center" wrapText="1"/>
    </xf>
    <xf numFmtId="0" fontId="44" fillId="21" borderId="28" xfId="0" applyFont="1" applyFill="1" applyBorder="1" applyAlignment="1">
      <alignment vertical="center" wrapText="1"/>
    </xf>
    <xf numFmtId="0" fontId="45" fillId="21" borderId="29" xfId="0" applyFont="1" applyFill="1" applyBorder="1" applyAlignment="1">
      <alignment vertical="center" wrapText="1"/>
    </xf>
    <xf numFmtId="0" fontId="2" fillId="62" borderId="30" xfId="0" applyFont="1" applyFill="1" applyBorder="1" applyAlignment="1">
      <alignment horizontal="left" vertical="center" wrapText="1"/>
    </xf>
    <xf numFmtId="0" fontId="45" fillId="22" borderId="3" xfId="0" applyFont="1" applyFill="1" applyBorder="1" applyAlignment="1">
      <alignment wrapText="1"/>
    </xf>
    <xf numFmtId="0" fontId="44" fillId="94" borderId="24" xfId="0" applyFont="1" applyFill="1" applyBorder="1" applyAlignment="1">
      <alignment vertical="center" wrapText="1"/>
    </xf>
    <xf numFmtId="198" fontId="44" fillId="94" borderId="24" xfId="0" applyNumberFormat="1" applyFont="1" applyFill="1" applyBorder="1" applyAlignment="1">
      <alignment vertical="center" wrapText="1"/>
    </xf>
    <xf numFmtId="0" fontId="44" fillId="94" borderId="24" xfId="0" applyFont="1" applyFill="1" applyBorder="1" applyAlignment="1">
      <alignment horizontal="center" vertical="center" wrapText="1"/>
    </xf>
    <xf numFmtId="0" fontId="44" fillId="94" borderId="24" xfId="0" applyFont="1" applyFill="1" applyBorder="1" applyAlignment="1">
      <alignment horizontal="left" vertical="top" wrapText="1"/>
    </xf>
    <xf numFmtId="0" fontId="44" fillId="94" borderId="24" xfId="0" applyFont="1" applyFill="1" applyBorder="1" applyAlignment="1">
      <alignment horizontal="left" vertical="center" wrapText="1"/>
    </xf>
    <xf numFmtId="0" fontId="44" fillId="94" borderId="24" xfId="209" applyFont="1" applyFill="1" applyBorder="1" applyAlignment="1">
      <alignment horizontal="left" vertical="center" wrapText="1"/>
    </xf>
    <xf numFmtId="0" fontId="44" fillId="94" borderId="24" xfId="0" applyFont="1" applyFill="1" applyBorder="1" applyAlignment="1">
      <alignment horizontal="left" vertical="center" wrapText="1" shrinkToFit="1"/>
    </xf>
    <xf numFmtId="0" fontId="45" fillId="21" borderId="31" xfId="0" applyFont="1" applyFill="1" applyBorder="1" applyAlignment="1">
      <alignment wrapText="1"/>
    </xf>
    <xf numFmtId="0" fontId="44" fillId="94" borderId="24" xfId="209" applyFont="1" applyFill="1" applyBorder="1" applyAlignment="1">
      <alignment vertical="center" wrapText="1"/>
    </xf>
    <xf numFmtId="0" fontId="44" fillId="94" borderId="24" xfId="0" applyFont="1" applyFill="1" applyBorder="1" applyAlignment="1">
      <alignment vertical="center" wrapText="1" shrinkToFit="1"/>
    </xf>
    <xf numFmtId="2" fontId="44" fillId="94" borderId="24" xfId="0" applyNumberFormat="1" applyFont="1" applyFill="1" applyBorder="1" applyAlignment="1">
      <alignment vertical="center" wrapText="1" shrinkToFit="1"/>
    </xf>
    <xf numFmtId="0" fontId="44" fillId="94" borderId="24" xfId="0" applyNumberFormat="1" applyFont="1" applyFill="1" applyBorder="1" applyAlignment="1">
      <alignment vertical="center" wrapText="1"/>
    </xf>
    <xf numFmtId="201" fontId="44" fillId="94" borderId="24" xfId="0" applyNumberFormat="1" applyFont="1" applyFill="1" applyBorder="1" applyAlignment="1">
      <alignment vertical="center" wrapText="1"/>
    </xf>
    <xf numFmtId="2" fontId="44" fillId="94" borderId="24" xfId="0" applyNumberFormat="1" applyFont="1" applyFill="1" applyBorder="1" applyAlignment="1">
      <alignment vertical="center" wrapText="1"/>
    </xf>
    <xf numFmtId="10" fontId="44" fillId="94" borderId="24" xfId="0" applyNumberFormat="1" applyFont="1" applyFill="1" applyBorder="1" applyAlignment="1">
      <alignment vertical="center" wrapText="1"/>
    </xf>
    <xf numFmtId="0" fontId="45" fillId="61" borderId="32" xfId="0" applyFont="1" applyFill="1" applyBorder="1" applyAlignment="1">
      <alignment horizontal="left" vertical="center" wrapText="1"/>
    </xf>
    <xf numFmtId="0" fontId="45" fillId="61" borderId="5" xfId="0" applyFont="1" applyFill="1" applyBorder="1" applyAlignment="1">
      <alignment horizontal="left" vertical="center"/>
    </xf>
    <xf numFmtId="0" fontId="45" fillId="61" borderId="31" xfId="0" applyFont="1" applyFill="1" applyBorder="1" applyAlignment="1">
      <alignment horizontal="left" vertical="center" wrapText="1"/>
    </xf>
    <xf numFmtId="0" fontId="45" fillId="61" borderId="33" xfId="0" applyFont="1" applyFill="1" applyBorder="1" applyAlignment="1">
      <alignment horizontal="left" vertical="center"/>
    </xf>
    <xf numFmtId="0" fontId="45" fillId="61" borderId="34" xfId="0" applyFont="1" applyFill="1" applyBorder="1" applyAlignment="1">
      <alignment horizontal="left" vertical="center" wrapText="1"/>
    </xf>
    <xf numFmtId="0" fontId="45" fillId="61" borderId="0" xfId="0" applyFont="1" applyFill="1" applyBorder="1" applyAlignment="1">
      <alignment horizontal="left" vertical="center"/>
    </xf>
    <xf numFmtId="0" fontId="45" fillId="61" borderId="25" xfId="0" applyFont="1" applyFill="1" applyBorder="1" applyAlignment="1">
      <alignment horizontal="center" vertical="center" wrapText="1"/>
    </xf>
    <xf numFmtId="0" fontId="45" fillId="61" borderId="2" xfId="0" applyFont="1" applyFill="1" applyBorder="1" applyAlignment="1">
      <alignment horizontal="center" vertical="center"/>
    </xf>
    <xf numFmtId="0" fontId="45" fillId="61" borderId="12" xfId="0" applyFont="1" applyFill="1" applyBorder="1" applyAlignment="1">
      <alignment horizontal="center" vertical="center"/>
    </xf>
    <xf numFmtId="0" fontId="45" fillId="61" borderId="32" xfId="0" applyFont="1" applyFill="1" applyBorder="1" applyAlignment="1">
      <alignment horizontal="left" wrapText="1"/>
    </xf>
    <xf numFmtId="0" fontId="45" fillId="61" borderId="35" xfId="0" applyFont="1" applyFill="1" applyBorder="1" applyAlignment="1">
      <alignment horizontal="left"/>
    </xf>
    <xf numFmtId="0" fontId="45" fillId="61" borderId="25" xfId="0" applyFont="1" applyFill="1" applyBorder="1" applyAlignment="1">
      <alignment horizontal="left" vertical="center" wrapText="1"/>
    </xf>
    <xf numFmtId="0" fontId="45" fillId="61" borderId="12" xfId="0" applyFont="1" applyFill="1" applyBorder="1" applyAlignment="1">
      <alignment horizontal="left" vertical="center"/>
    </xf>
    <xf numFmtId="0" fontId="45" fillId="23" borderId="36" xfId="0" applyFont="1" applyFill="1" applyBorder="1" applyAlignment="1">
      <alignment horizontal="center" wrapText="1"/>
    </xf>
    <xf numFmtId="0" fontId="8" fillId="23" borderId="37" xfId="0" applyFont="1" applyFill="1" applyBorder="1" applyAlignment="1">
      <alignment horizontal="center"/>
    </xf>
    <xf numFmtId="0" fontId="45" fillId="23" borderId="38" xfId="0" applyFont="1" applyFill="1" applyBorder="1" applyAlignment="1">
      <alignment horizontal="center" wrapText="1"/>
    </xf>
    <xf numFmtId="0" fontId="45" fillId="22" borderId="2" xfId="0" applyFont="1" applyFill="1" applyBorder="1" applyAlignment="1">
      <alignment wrapText="1"/>
    </xf>
    <xf numFmtId="0" fontId="8" fillId="22" borderId="2" xfId="0" applyFont="1" applyFill="1" applyBorder="1" applyAlignment="1"/>
    <xf numFmtId="0" fontId="8" fillId="22" borderId="12" xfId="0" applyFont="1" applyFill="1" applyBorder="1" applyAlignment="1"/>
    <xf numFmtId="0" fontId="45" fillId="22" borderId="3" xfId="0" applyFont="1" applyFill="1" applyBorder="1" applyAlignment="1">
      <alignment horizontal="left" wrapText="1"/>
    </xf>
    <xf numFmtId="0" fontId="8" fillId="22" borderId="3" xfId="0" applyFont="1" applyFill="1" applyBorder="1" applyAlignment="1">
      <alignment horizontal="left"/>
    </xf>
    <xf numFmtId="0" fontId="44" fillId="22" borderId="39" xfId="0" applyFont="1" applyFill="1" applyBorder="1" applyAlignment="1">
      <alignment horizontal="left" vertical="top" wrapText="1"/>
    </xf>
    <xf numFmtId="0" fontId="10" fillId="22" borderId="41" xfId="0" applyFont="1" applyFill="1" applyBorder="1" applyAlignment="1">
      <alignment horizontal="left" vertical="top"/>
    </xf>
    <xf numFmtId="0" fontId="44" fillId="0" borderId="4" xfId="0" applyFont="1" applyBorder="1" applyAlignment="1">
      <alignment horizontal="left" vertical="top" wrapText="1"/>
    </xf>
    <xf numFmtId="2" fontId="44" fillId="0" borderId="4" xfId="0" applyNumberFormat="1" applyFont="1" applyBorder="1" applyAlignment="1">
      <alignment horizontal="left" vertical="top" wrapText="1"/>
    </xf>
    <xf numFmtId="0" fontId="44" fillId="22" borderId="39" xfId="0" applyFont="1" applyFill="1" applyBorder="1" applyAlignment="1">
      <alignment horizontal="left" wrapText="1"/>
    </xf>
    <xf numFmtId="0" fontId="10" fillId="22" borderId="41" xfId="0" applyFont="1" applyFill="1" applyBorder="1" applyAlignment="1">
      <alignment horizontal="left"/>
    </xf>
    <xf numFmtId="0" fontId="8" fillId="22" borderId="3" xfId="0" applyFont="1" applyFill="1" applyBorder="1" applyAlignment="1">
      <alignment horizontal="center"/>
    </xf>
    <xf numFmtId="0" fontId="2" fillId="22" borderId="40" xfId="0" applyFont="1" applyFill="1" applyBorder="1" applyAlignment="1">
      <alignment horizontal="left"/>
    </xf>
    <xf numFmtId="0" fontId="44" fillId="0" borderId="39" xfId="0" applyFont="1" applyBorder="1" applyAlignment="1">
      <alignment horizontal="center"/>
    </xf>
    <xf numFmtId="0" fontId="44" fillId="0" borderId="40" xfId="0" applyFont="1" applyBorder="1" applyAlignment="1">
      <alignment horizontal="center"/>
    </xf>
    <xf numFmtId="0" fontId="44" fillId="0" borderId="41" xfId="0" applyFont="1" applyBorder="1" applyAlignment="1">
      <alignment horizontal="center"/>
    </xf>
    <xf numFmtId="0" fontId="45" fillId="0" borderId="40" xfId="0" applyFont="1" applyBorder="1" applyAlignment="1">
      <alignment horizontal="left" wrapText="1"/>
    </xf>
    <xf numFmtId="0" fontId="9" fillId="0" borderId="0" xfId="0" applyFont="1" applyBorder="1" applyAlignment="1">
      <alignment horizontal="left"/>
    </xf>
    <xf numFmtId="0" fontId="44" fillId="22" borderId="4" xfId="0" applyFont="1" applyFill="1" applyBorder="1" applyAlignment="1">
      <alignment horizontal="left" vertical="top" wrapText="1"/>
    </xf>
    <xf numFmtId="0" fontId="2" fillId="22" borderId="4" xfId="0" applyFont="1" applyFill="1" applyBorder="1" applyAlignment="1">
      <alignment horizontal="left" vertical="top"/>
    </xf>
    <xf numFmtId="0" fontId="45" fillId="0" borderId="9" xfId="0" applyFont="1" applyBorder="1" applyAlignment="1">
      <alignment horizontal="left" wrapText="1"/>
    </xf>
    <xf numFmtId="0" fontId="9" fillId="0" borderId="9" xfId="0" applyFont="1" applyBorder="1" applyAlignment="1">
      <alignment horizontal="left"/>
    </xf>
    <xf numFmtId="0" fontId="10" fillId="22" borderId="41" xfId="0" applyFont="1" applyFill="1" applyBorder="1" applyAlignment="1">
      <alignment horizontal="left" vertical="top" wrapText="1"/>
    </xf>
    <xf numFmtId="2" fontId="44" fillId="0" borderId="39" xfId="0" applyNumberFormat="1" applyFont="1" applyBorder="1" applyAlignment="1">
      <alignment horizontal="left" vertical="top" wrapText="1"/>
    </xf>
    <xf numFmtId="2" fontId="44" fillId="0" borderId="40" xfId="0" applyNumberFormat="1" applyFont="1" applyBorder="1" applyAlignment="1">
      <alignment horizontal="left" vertical="top" wrapText="1"/>
    </xf>
    <xf numFmtId="2" fontId="44" fillId="0" borderId="41" xfId="0" applyNumberFormat="1" applyFont="1" applyBorder="1" applyAlignment="1">
      <alignment horizontal="left" vertical="top" wrapText="1"/>
    </xf>
    <xf numFmtId="0" fontId="2" fillId="22" borderId="41" xfId="0" applyFont="1" applyFill="1" applyBorder="1" applyAlignment="1">
      <alignment horizontal="left"/>
    </xf>
    <xf numFmtId="0" fontId="45" fillId="21" borderId="34" xfId="0" applyFont="1" applyFill="1" applyBorder="1" applyAlignment="1">
      <alignment horizontal="left" wrapText="1"/>
    </xf>
    <xf numFmtId="0" fontId="45" fillId="21" borderId="3" xfId="0" applyFont="1" applyFill="1" applyBorder="1" applyAlignment="1">
      <alignment horizontal="left"/>
    </xf>
    <xf numFmtId="0" fontId="2" fillId="22" borderId="42" xfId="0" applyFont="1" applyFill="1" applyBorder="1" applyAlignment="1">
      <alignment horizontal="center" vertical="center" wrapText="1"/>
    </xf>
    <xf numFmtId="0" fontId="2" fillId="22" borderId="9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22" borderId="4" xfId="0" applyFont="1" applyFill="1" applyBorder="1" applyAlignment="1">
      <alignment horizontal="left" vertical="top" wrapText="1"/>
    </xf>
    <xf numFmtId="0" fontId="45" fillId="21" borderId="34" xfId="0" applyFont="1" applyFill="1" applyBorder="1" applyAlignment="1">
      <alignment horizontal="center"/>
    </xf>
    <xf numFmtId="0" fontId="45" fillId="21" borderId="3" xfId="0" applyFont="1" applyFill="1" applyBorder="1" applyAlignment="1">
      <alignment horizontal="center"/>
    </xf>
    <xf numFmtId="0" fontId="44" fillId="23" borderId="39" xfId="0" applyFont="1" applyFill="1" applyBorder="1" applyAlignment="1">
      <alignment horizontal="left" vertical="top" wrapText="1"/>
    </xf>
    <xf numFmtId="0" fontId="10" fillId="23" borderId="41" xfId="0" applyFont="1" applyFill="1" applyBorder="1" applyAlignment="1">
      <alignment horizontal="left" vertical="top"/>
    </xf>
    <xf numFmtId="0" fontId="45" fillId="21" borderId="31" xfId="0" applyFont="1" applyFill="1" applyBorder="1" applyAlignment="1">
      <alignment wrapText="1"/>
    </xf>
    <xf numFmtId="0" fontId="45" fillId="21" borderId="23" xfId="0" applyFont="1" applyFill="1" applyBorder="1" applyAlignment="1"/>
    <xf numFmtId="0" fontId="45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44" fillId="23" borderId="39" xfId="0" applyFont="1" applyFill="1" applyBorder="1" applyAlignment="1">
      <alignment horizontal="left" wrapText="1"/>
    </xf>
    <xf numFmtId="0" fontId="10" fillId="23" borderId="41" xfId="0" applyFont="1" applyFill="1" applyBorder="1" applyAlignment="1">
      <alignment horizontal="left"/>
    </xf>
    <xf numFmtId="0" fontId="45" fillId="22" borderId="31" xfId="0" applyFont="1" applyFill="1" applyBorder="1" applyAlignment="1">
      <alignment horizontal="left" wrapText="1"/>
    </xf>
    <xf numFmtId="0" fontId="8" fillId="22" borderId="23" xfId="0" applyFont="1" applyFill="1" applyBorder="1" applyAlignment="1">
      <alignment horizontal="left"/>
    </xf>
    <xf numFmtId="0" fontId="8" fillId="22" borderId="33" xfId="0" applyFont="1" applyFill="1" applyBorder="1" applyAlignment="1">
      <alignment horizontal="left"/>
    </xf>
    <xf numFmtId="0" fontId="45" fillId="21" borderId="34" xfId="0" applyFont="1" applyFill="1" applyBorder="1" applyAlignment="1">
      <alignment horizontal="left"/>
    </xf>
    <xf numFmtId="0" fontId="10" fillId="4" borderId="39" xfId="0" applyFont="1" applyFill="1" applyBorder="1" applyAlignment="1">
      <alignment horizontal="left"/>
    </xf>
    <xf numFmtId="0" fontId="10" fillId="4" borderId="40" xfId="0" applyFont="1" applyFill="1" applyBorder="1" applyAlignment="1">
      <alignment horizontal="left"/>
    </xf>
    <xf numFmtId="0" fontId="10" fillId="4" borderId="41" xfId="0" applyFont="1" applyFill="1" applyBorder="1" applyAlignment="1">
      <alignment horizontal="left"/>
    </xf>
    <xf numFmtId="0" fontId="10" fillId="4" borderId="39" xfId="0" applyFont="1" applyFill="1" applyBorder="1" applyAlignment="1">
      <alignment horizontal="left" vertical="top"/>
    </xf>
    <xf numFmtId="0" fontId="10" fillId="4" borderId="40" xfId="0" applyFont="1" applyFill="1" applyBorder="1" applyAlignment="1">
      <alignment horizontal="left" vertical="top"/>
    </xf>
    <xf numFmtId="0" fontId="10" fillId="4" borderId="41" xfId="0" applyFont="1" applyFill="1" applyBorder="1" applyAlignment="1">
      <alignment horizontal="left" vertical="top"/>
    </xf>
    <xf numFmtId="0" fontId="44" fillId="21" borderId="39" xfId="0" applyFont="1" applyFill="1" applyBorder="1" applyAlignment="1">
      <alignment horizontal="center"/>
    </xf>
    <xf numFmtId="0" fontId="44" fillId="21" borderId="40" xfId="0" applyFont="1" applyFill="1" applyBorder="1" applyAlignment="1">
      <alignment horizontal="center"/>
    </xf>
    <xf numFmtId="0" fontId="44" fillId="21" borderId="41" xfId="0" applyFont="1" applyFill="1" applyBorder="1" applyAlignment="1">
      <alignment horizontal="center"/>
    </xf>
    <xf numFmtId="0" fontId="10" fillId="22" borderId="40" xfId="0" applyFont="1" applyFill="1" applyBorder="1" applyAlignment="1">
      <alignment horizontal="left"/>
    </xf>
    <xf numFmtId="0" fontId="10" fillId="22" borderId="40" xfId="0" applyFont="1" applyFill="1" applyBorder="1" applyAlignment="1">
      <alignment horizontal="left" vertical="top"/>
    </xf>
    <xf numFmtId="0" fontId="44" fillId="21" borderId="39" xfId="0" applyFont="1" applyFill="1" applyBorder="1" applyAlignment="1">
      <alignment horizontal="center" wrapText="1"/>
    </xf>
    <xf numFmtId="0" fontId="10" fillId="0" borderId="39" xfId="0" quotePrefix="1" applyFont="1" applyFill="1" applyBorder="1" applyAlignment="1">
      <alignment horizontal="left" vertical="top" wrapText="1"/>
    </xf>
    <xf numFmtId="0" fontId="10" fillId="0" borderId="40" xfId="0" quotePrefix="1" applyFont="1" applyFill="1" applyBorder="1" applyAlignment="1">
      <alignment horizontal="left" vertical="top" wrapText="1"/>
    </xf>
    <xf numFmtId="0" fontId="10" fillId="0" borderId="41" xfId="0" quotePrefix="1" applyFont="1" applyFill="1" applyBorder="1" applyAlignment="1">
      <alignment horizontal="left" vertical="top" wrapText="1"/>
    </xf>
    <xf numFmtId="0" fontId="2" fillId="0" borderId="39" xfId="0" applyFont="1" applyFill="1" applyBorder="1" applyAlignment="1">
      <alignment horizontal="left" vertical="top" wrapText="1"/>
    </xf>
    <xf numFmtId="0" fontId="2" fillId="0" borderId="40" xfId="0" applyFont="1" applyFill="1" applyBorder="1" applyAlignment="1">
      <alignment horizontal="left" vertical="top" wrapText="1"/>
    </xf>
    <xf numFmtId="0" fontId="2" fillId="0" borderId="41" xfId="0" applyFont="1" applyFill="1" applyBorder="1" applyAlignment="1">
      <alignment horizontal="left" vertical="top" wrapText="1"/>
    </xf>
    <xf numFmtId="0" fontId="10" fillId="22" borderId="41" xfId="0" applyFont="1" applyFill="1" applyBorder="1" applyAlignment="1">
      <alignment horizontal="left" wrapText="1"/>
    </xf>
    <xf numFmtId="0" fontId="45" fillId="21" borderId="39" xfId="0" applyFont="1" applyFill="1" applyBorder="1" applyAlignment="1">
      <alignment horizontal="left" wrapText="1"/>
    </xf>
    <xf numFmtId="0" fontId="45" fillId="21" borderId="40" xfId="0" applyFont="1" applyFill="1" applyBorder="1" applyAlignment="1">
      <alignment horizontal="left"/>
    </xf>
    <xf numFmtId="0" fontId="45" fillId="21" borderId="39" xfId="0" applyFont="1" applyFill="1" applyBorder="1" applyAlignment="1">
      <alignment horizontal="left"/>
    </xf>
    <xf numFmtId="0" fontId="45" fillId="21" borderId="40" xfId="0" applyFont="1" applyFill="1" applyBorder="1" applyAlignment="1">
      <alignment horizontal="left" wrapText="1"/>
    </xf>
    <xf numFmtId="0" fontId="45" fillId="21" borderId="43" xfId="0" applyFont="1" applyFill="1" applyBorder="1" applyAlignment="1">
      <alignment horizontal="left" wrapText="1"/>
    </xf>
    <xf numFmtId="0" fontId="45" fillId="21" borderId="0" xfId="0" applyFont="1" applyFill="1" applyBorder="1" applyAlignment="1">
      <alignment horizontal="left"/>
    </xf>
    <xf numFmtId="0" fontId="44" fillId="21" borderId="4" xfId="0" applyFont="1" applyFill="1" applyBorder="1" applyAlignment="1">
      <alignment horizontal="center" wrapText="1"/>
    </xf>
    <xf numFmtId="0" fontId="44" fillId="21" borderId="4" xfId="0" applyFont="1" applyFill="1" applyBorder="1" applyAlignment="1">
      <alignment horizontal="center"/>
    </xf>
    <xf numFmtId="43" fontId="45" fillId="21" borderId="43" xfId="172" applyFont="1" applyFill="1" applyBorder="1" applyAlignment="1">
      <alignment horizontal="left" wrapText="1"/>
    </xf>
    <xf numFmtId="43" fontId="45" fillId="21" borderId="0" xfId="172" applyFont="1" applyFill="1" applyBorder="1" applyAlignment="1">
      <alignment horizontal="left"/>
    </xf>
    <xf numFmtId="0" fontId="44" fillId="0" borderId="39" xfId="0" applyFont="1" applyBorder="1" applyAlignment="1">
      <alignment horizontal="left" vertical="top" wrapText="1"/>
    </xf>
    <xf numFmtId="0" fontId="44" fillId="0" borderId="41" xfId="0" applyFont="1" applyBorder="1" applyAlignment="1">
      <alignment horizontal="left" vertical="top" wrapText="1"/>
    </xf>
  </cellXfs>
  <cellStyles count="226">
    <cellStyle name="20% - Accent1" xfId="1" builtinId="30" customBuiltin="1"/>
    <cellStyle name="20% - Accent1 2" xfId="2" xr:uid="{FD63CE4D-C247-1042-81FA-FA37E701519C}"/>
    <cellStyle name="20% - Accent1 2 2" xfId="3" xr:uid="{D95C2AA1-9B9D-F744-AFD7-0EA0FE4E09F7}"/>
    <cellStyle name="20% - Accent1 2 2 2" xfId="4" xr:uid="{D97A7347-1EC7-964B-81B1-EA794BFE796E}"/>
    <cellStyle name="20% - Accent1 2 2 2 2" xfId="5" xr:uid="{716795C3-C2A9-374F-BA3C-7C4329BB9166}"/>
    <cellStyle name="20% - Accent1 3" xfId="6" xr:uid="{2AD75164-AF13-9C49-86DD-EA48825D6245}"/>
    <cellStyle name="20% - Accent1 3 2" xfId="7" xr:uid="{00C3FC2C-42A0-DC47-99FA-48217AA18C83}"/>
    <cellStyle name="20% - Accent1 3 2 2" xfId="8" xr:uid="{7FB0A34A-D6FD-4240-8F3D-EDD5A7A58DDA}"/>
    <cellStyle name="20% - Accent1 3 2 2 2" xfId="9" xr:uid="{45BD1321-F334-5C46-861B-FC53A8B5F926}"/>
    <cellStyle name="20% - Accent2" xfId="10" builtinId="34" customBuiltin="1"/>
    <cellStyle name="20% - Accent2 2" xfId="11" xr:uid="{1FB5385B-9A3E-FD41-860A-8A938C0FE2E4}"/>
    <cellStyle name="20% - Accent2 2 2" xfId="12" xr:uid="{538B02A5-BDE0-8949-BF2F-D91EF2F709CB}"/>
    <cellStyle name="20% - Accent2 2 2 2" xfId="13" xr:uid="{EEECE5E7-970D-0F47-8E77-4FE6DBEE3F49}"/>
    <cellStyle name="20% - Accent2 2 2 2 2" xfId="14" xr:uid="{A92E3DD4-F7BB-AC43-B131-B1F4DD3C5636}"/>
    <cellStyle name="20% - Accent2 3" xfId="15" xr:uid="{F1B0FB42-AF98-A94F-B65E-28C6F2174FC5}"/>
    <cellStyle name="20% - Accent2 3 2" xfId="16" xr:uid="{BADF113A-35E8-F44A-ABAD-2D55274BD5C2}"/>
    <cellStyle name="20% - Accent2 3 2 2" xfId="17" xr:uid="{5D4B5776-D99D-8D4F-A7A6-536246B7B725}"/>
    <cellStyle name="20% - Accent2 3 2 2 2" xfId="18" xr:uid="{08ABA50F-BA5F-F445-B100-8EF4DC0E5A28}"/>
    <cellStyle name="20% - Accent3" xfId="19" builtinId="38" customBuiltin="1"/>
    <cellStyle name="20% - Accent3 2" xfId="20" xr:uid="{59023EA9-2597-9540-B37A-2CB5183D0400}"/>
    <cellStyle name="20% - Accent3 2 2" xfId="21" xr:uid="{66326B6C-3B34-504F-BAA9-BA4740B956EA}"/>
    <cellStyle name="20% - Accent3 2 2 2" xfId="22" xr:uid="{53D5E7DA-CE26-0147-9584-3CA284402799}"/>
    <cellStyle name="20% - Accent3 2 2 2 2" xfId="23" xr:uid="{8D6A6267-C2A4-1340-BAA7-921BEEF60176}"/>
    <cellStyle name="20% - Accent3 3" xfId="24" xr:uid="{19B56EF8-5C0F-AC4E-A758-0691597360C3}"/>
    <cellStyle name="20% - Accent3 3 2" xfId="25" xr:uid="{A6ABB4A4-F77C-354A-855B-60D4F3CC0591}"/>
    <cellStyle name="20% - Accent3 3 2 2" xfId="26" xr:uid="{7D2E5AAB-659E-4A48-9FB0-C952C97F0953}"/>
    <cellStyle name="20% - Accent3 3 2 2 2" xfId="27" xr:uid="{88C0A15D-1CC5-4442-A7C5-F6361864DC05}"/>
    <cellStyle name="20% - Accent4" xfId="28" builtinId="42" customBuiltin="1"/>
    <cellStyle name="20% - Accent4 2" xfId="29" xr:uid="{406759FE-8E46-B44C-8F30-4F73CC38DBA7}"/>
    <cellStyle name="20% - Accent4 2 2" xfId="30" xr:uid="{E6491F77-BDC8-CB4D-8834-B2897FF2B493}"/>
    <cellStyle name="20% - Accent4 2 2 2" xfId="31" xr:uid="{3663716F-DA0E-A946-BE0A-CB2BC84945A5}"/>
    <cellStyle name="20% - Accent4 2 2 2 2" xfId="32" xr:uid="{FAF98DDC-1B13-0D45-8F73-46FA172DF8A7}"/>
    <cellStyle name="20% - Accent4 3" xfId="33" xr:uid="{E425C26A-1E9C-E749-BD06-14E07C12243E}"/>
    <cellStyle name="20% - Accent4 3 2" xfId="34" xr:uid="{586919EF-68D4-6440-9DD2-4419628BCA9D}"/>
    <cellStyle name="20% - Accent4 3 2 2" xfId="35" xr:uid="{2326957C-AB74-3C47-BEA6-1A058CBC5D3F}"/>
    <cellStyle name="20% - Accent4 3 2 2 2" xfId="36" xr:uid="{C4393C9A-BB1C-BF49-B6E6-BF1DBE879784}"/>
    <cellStyle name="20% - Accent5" xfId="37" builtinId="46" customBuiltin="1"/>
    <cellStyle name="20% - Accent5 2" xfId="38" xr:uid="{A102CCF0-097D-1A49-9CB9-1EDDF1EC1ADD}"/>
    <cellStyle name="20% - Accent5 2 2" xfId="39" xr:uid="{B1EEA1E4-E15D-A645-84A6-CB6078F9A5D3}"/>
    <cellStyle name="20% - Accent5 2 2 2" xfId="40" xr:uid="{0DCD2AA3-4D97-3E4F-9FAE-46C0D1B35E7D}"/>
    <cellStyle name="20% - Accent5 2 2 2 2" xfId="41" xr:uid="{306DC90E-F063-B04E-AC22-53A7AFF66CB0}"/>
    <cellStyle name="20% - Accent5 3" xfId="42" xr:uid="{C08F3D49-762A-B649-978A-8A37B12A85CA}"/>
    <cellStyle name="20% - Accent5 3 2" xfId="43" xr:uid="{C0E8781F-385E-3046-AB73-1B379E3F57DE}"/>
    <cellStyle name="20% - Accent5 3 2 2" xfId="44" xr:uid="{B462D1EC-5ECD-CE4D-8D49-4DE38E52CD4D}"/>
    <cellStyle name="20% - Accent5 3 2 2 2" xfId="45" xr:uid="{77289316-1349-894A-9B1D-6A6047F0717E}"/>
    <cellStyle name="20% - Accent6" xfId="46" builtinId="50" customBuiltin="1"/>
    <cellStyle name="20% - Accent6 2" xfId="47" xr:uid="{5C1AA65A-BBBE-7E48-A2BD-F4681C856F92}"/>
    <cellStyle name="20% - Accent6 2 2" xfId="48" xr:uid="{5ADFD410-2359-774D-8250-D9078208E84D}"/>
    <cellStyle name="20% - Accent6 2 2 2" xfId="49" xr:uid="{1154A26A-590B-144E-A72C-1579342DB2AD}"/>
    <cellStyle name="20% - Accent6 2 2 2 2" xfId="50" xr:uid="{05BB8480-65C4-A04C-9FAA-191D077A9A07}"/>
    <cellStyle name="20% - Accent6 3" xfId="51" xr:uid="{6F1C40D3-E395-964A-BE20-6F3D4C2EF6A1}"/>
    <cellStyle name="20% - Accent6 3 2" xfId="52" xr:uid="{11379D27-C10C-2A4A-B4D7-CA776834EE62}"/>
    <cellStyle name="20% - Accent6 3 2 2" xfId="53" xr:uid="{654366F7-3E55-A84F-BA2E-B96DE7C70864}"/>
    <cellStyle name="20% - Accent6 3 2 2 2" xfId="54" xr:uid="{10AA2F8C-7374-3B43-89E4-F7690839B81F}"/>
    <cellStyle name="40% - Accent1" xfId="55" builtinId="31" customBuiltin="1"/>
    <cellStyle name="40% - Accent1 2" xfId="56" xr:uid="{886CD355-20DA-DE40-AEC7-D2DF96435571}"/>
    <cellStyle name="40% - Accent1 2 2" xfId="57" xr:uid="{8FB8DBE6-5150-0C4F-AB4C-7E6E9F7092C3}"/>
    <cellStyle name="40% - Accent1 2 2 2" xfId="58" xr:uid="{AFEFFEC4-776F-C04F-9303-2F21B79745FD}"/>
    <cellStyle name="40% - Accent1 2 2 2 2" xfId="59" xr:uid="{5E071478-C925-5C43-B193-A2859A22311B}"/>
    <cellStyle name="40% - Accent1 2 2 2 2 2" xfId="60" xr:uid="{05B3F61D-F9C9-1940-9516-9D6C354AB36E}"/>
    <cellStyle name="40% - Accent1 2 2 2 2 2 2" xfId="61" xr:uid="{E6A21D09-C9E8-D04F-AA7E-49C3FBF6D9F3}"/>
    <cellStyle name="40% - Accent1 2 2 2 2 2 2 2" xfId="62" xr:uid="{01F68C54-7654-B143-AC91-1E15A9E405A1}"/>
    <cellStyle name="40% - Accent1 3" xfId="63" xr:uid="{06518121-7669-4E49-B5DB-DD313D45DBCF}"/>
    <cellStyle name="40% - Accent1 3 2" xfId="64" xr:uid="{EF3C2B2B-1895-1544-BC4A-699270B9A885}"/>
    <cellStyle name="40% - Accent1 3 2 2" xfId="65" xr:uid="{7BD21F3D-9A11-8D40-80BA-B1FDA89A1531}"/>
    <cellStyle name="40% - Accent1 3 2 2 2" xfId="66" xr:uid="{59F0E679-9EF2-924A-BABA-606B8F34F560}"/>
    <cellStyle name="40% - Accent2" xfId="67" builtinId="35" customBuiltin="1"/>
    <cellStyle name="40% - Accent2 2" xfId="68" xr:uid="{031BBF98-8DC0-6340-B6EA-D8E668AC6074}"/>
    <cellStyle name="40% - Accent2 2 2" xfId="69" xr:uid="{04F32851-0D67-944B-99CB-1E413EF2B55B}"/>
    <cellStyle name="40% - Accent2 2 2 2" xfId="70" xr:uid="{78832FB4-5A91-FB42-9238-60055AD67CF0}"/>
    <cellStyle name="40% - Accent2 2 2 2 2" xfId="71" xr:uid="{6B471B12-A309-2A4D-A47E-694367124787}"/>
    <cellStyle name="40% - Accent2 2 2 2 2 2" xfId="72" xr:uid="{0801D4EC-4592-B245-A66A-273A6A9822EE}"/>
    <cellStyle name="40% - Accent2 2 2 2 2 2 2" xfId="73" xr:uid="{AA5140EF-27B1-044F-89AE-D2CB6DE38347}"/>
    <cellStyle name="40% - Accent2 2 2 2 2 2 2 2" xfId="74" xr:uid="{488FC733-3FAD-A44A-91E6-7A5D738C0173}"/>
    <cellStyle name="40% - Accent2 3" xfId="75" xr:uid="{40BB35AE-E877-CE4B-8A8C-D36492CB5462}"/>
    <cellStyle name="40% - Accent2 3 2" xfId="76" xr:uid="{3A258B5C-CF21-E449-9C4B-F1313CCE9D3E}"/>
    <cellStyle name="40% - Accent2 3 2 2" xfId="77" xr:uid="{91BF3E7D-80A5-4A49-BFEE-9E7670DAA302}"/>
    <cellStyle name="40% - Accent2 3 2 2 2" xfId="78" xr:uid="{0BC78D46-A1A5-2144-B50D-264ED74DDD28}"/>
    <cellStyle name="40% - Accent3" xfId="79" builtinId="39" customBuiltin="1"/>
    <cellStyle name="40% - Accent3 2" xfId="80" xr:uid="{0783D98D-54F8-AA43-95A9-8D5B90B7D122}"/>
    <cellStyle name="40% - Accent3 2 2" xfId="81" xr:uid="{88EF68EA-0748-9C43-9467-E6926F4393BB}"/>
    <cellStyle name="40% - Accent3 2 2 2" xfId="82" xr:uid="{95DA8232-353C-C143-A11B-8154CC4420BC}"/>
    <cellStyle name="40% - Accent3 2 2 2 2" xfId="83" xr:uid="{4B55DF68-F5EA-4E43-948D-452E2CD42D0B}"/>
    <cellStyle name="40% - Accent3 2 2 2 2 2" xfId="84" xr:uid="{CF7C0C6D-804C-844B-816D-1FDFAAE1EB59}"/>
    <cellStyle name="40% - Accent3 2 2 2 2 2 2" xfId="85" xr:uid="{0ADBA112-D60D-0C41-A16A-E64E5E564E75}"/>
    <cellStyle name="40% - Accent3 2 2 2 2 2 2 2" xfId="86" xr:uid="{886271A1-F788-3846-A811-3A59E3E643DF}"/>
    <cellStyle name="40% - Accent3 3" xfId="87" xr:uid="{5AA4442E-1F3C-AE4B-BC44-3121506E2E0D}"/>
    <cellStyle name="40% - Accent3 3 2" xfId="88" xr:uid="{213E317E-BCA0-D444-A3CB-FB93CBC0F706}"/>
    <cellStyle name="40% - Accent3 3 2 2" xfId="89" xr:uid="{1E3D2071-6B24-4740-8B5A-AF4EF7247E53}"/>
    <cellStyle name="40% - Accent3 3 2 2 2" xfId="90" xr:uid="{93D02880-0AFF-804C-A049-AA4C1AD93704}"/>
    <cellStyle name="40% - Accent4" xfId="91" builtinId="43" customBuiltin="1"/>
    <cellStyle name="40% - Accent4 2" xfId="92" xr:uid="{44E8C99E-81D4-8A44-A26E-689976F3AD45}"/>
    <cellStyle name="40% - Accent4 2 2" xfId="93" xr:uid="{17D9821B-DB76-A64E-A068-27D3EEE6C0A9}"/>
    <cellStyle name="40% - Accent4 2 2 2" xfId="94" xr:uid="{1649A8D9-C3BE-0C4E-AF8D-F38BD5B8269D}"/>
    <cellStyle name="40% - Accent4 2 2 2 2" xfId="95" xr:uid="{075FA948-1AA5-B449-9AF6-6AFD5DDEAE1D}"/>
    <cellStyle name="40% - Accent4 2 2 2 2 2" xfId="96" xr:uid="{81527010-8D3D-3543-BED3-2A80B99A2429}"/>
    <cellStyle name="40% - Accent4 2 2 2 2 2 2" xfId="97" xr:uid="{083DC44C-4E01-734E-87E6-0EB493A8DC34}"/>
    <cellStyle name="40% - Accent4 2 2 2 2 2 2 2" xfId="98" xr:uid="{060FBD4D-2745-8B45-B075-3EC2BE8F6DBD}"/>
    <cellStyle name="40% - Accent4 3" xfId="99" xr:uid="{3F4E8963-EB0B-9E40-B0E0-469382229ED4}"/>
    <cellStyle name="40% - Accent4 3 2" xfId="100" xr:uid="{3ECD9BAB-E1C1-D64E-877C-355492C95B6A}"/>
    <cellStyle name="40% - Accent4 3 2 2" xfId="101" xr:uid="{CB6D4CDC-5000-5C4C-BED6-D192549F8E36}"/>
    <cellStyle name="40% - Accent4 3 2 2 2" xfId="102" xr:uid="{F72A3A50-5A2D-D74B-9C69-5C65A6F22665}"/>
    <cellStyle name="40% - Accent5" xfId="103" builtinId="47" customBuiltin="1"/>
    <cellStyle name="40% - Accent5 2" xfId="104" xr:uid="{7DC013F9-7171-8646-B68E-0C64CF72DE01}"/>
    <cellStyle name="40% - Accent5 2 2" xfId="105" xr:uid="{D6266052-B89A-484C-BE2F-6E3855286CB2}"/>
    <cellStyle name="40% - Accent5 2 2 2" xfId="106" xr:uid="{E92765DE-E018-F44D-AB07-C71878B1E7C9}"/>
    <cellStyle name="40% - Accent5 2 2 2 2" xfId="107" xr:uid="{B4E323AC-8F1C-A44E-A822-1497578E064C}"/>
    <cellStyle name="40% - Accent5 2 2 2 2 2" xfId="108" xr:uid="{20A02A19-F035-7C41-AF7C-179781892F9C}"/>
    <cellStyle name="40% - Accent5 2 2 2 2 2 2" xfId="109" xr:uid="{DD3CA376-7F42-F642-8080-6CC4EF871384}"/>
    <cellStyle name="40% - Accent5 2 2 2 2 2 2 2" xfId="110" xr:uid="{EBDB815E-24DB-584C-AFF3-77B3A5FE29EF}"/>
    <cellStyle name="40% - Accent5 3" xfId="111" xr:uid="{0A58EE6E-92FB-A34B-9C9F-6EA3C8D5F7DD}"/>
    <cellStyle name="40% - Accent5 3 2" xfId="112" xr:uid="{2E6B3DFF-1E8F-7C45-86CD-540326925398}"/>
    <cellStyle name="40% - Accent5 3 2 2" xfId="113" xr:uid="{6D0C6134-D41D-1247-A3AA-A98F263E2CCF}"/>
    <cellStyle name="40% - Accent5 3 2 2 2" xfId="114" xr:uid="{208B8EBA-75C8-0446-A3A5-BC3A02DDFC4A}"/>
    <cellStyle name="40% - Accent6" xfId="115" builtinId="51" customBuiltin="1"/>
    <cellStyle name="40% - Accent6 2" xfId="116" xr:uid="{4B55DC5E-73B8-2B4C-B41A-1DB38899CF22}"/>
    <cellStyle name="40% - Accent6 2 2" xfId="117" xr:uid="{D360621A-FF14-A149-9CE6-B5E030C1664E}"/>
    <cellStyle name="40% - Accent6 2 2 2" xfId="118" xr:uid="{5C3FF245-7F07-6E4A-B4D5-F878AC9A84F0}"/>
    <cellStyle name="40% - Accent6 2 2 2 2" xfId="119" xr:uid="{33AD19AD-7EF1-A64A-92DC-717FB802E2F0}"/>
    <cellStyle name="40% - Accent6 2 2 2 2 2" xfId="120" xr:uid="{144DF612-8B44-6846-8EFA-725125522BFB}"/>
    <cellStyle name="40% - Accent6 2 2 2 2 2 2" xfId="121" xr:uid="{73CF71C1-750D-3348-B12B-31E74F071E60}"/>
    <cellStyle name="40% - Accent6 2 2 2 2 2 2 2" xfId="122" xr:uid="{01675E4B-62DD-3A40-A5E3-0F3FAD5DA4B3}"/>
    <cellStyle name="40% - Accent6 3" xfId="123" xr:uid="{C5D10EA4-6FAB-9F42-A6D4-91F6967CD8FA}"/>
    <cellStyle name="40% - Accent6 3 2" xfId="124" xr:uid="{F9870DE1-32E2-7946-8B29-C8315CD9868B}"/>
    <cellStyle name="40% - Accent6 3 2 2" xfId="125" xr:uid="{11DA96AA-0042-5044-BDB2-3CBEFB398335}"/>
    <cellStyle name="40% - Accent6 3 2 2 2" xfId="126" xr:uid="{00E32B9F-27D1-6746-AF70-FE833BB3083F}"/>
    <cellStyle name="60% - Accent1" xfId="127" builtinId="32" customBuiltin="1"/>
    <cellStyle name="60% - Accent1 2" xfId="128" xr:uid="{11E24515-4BC0-A948-86FB-88579CA60D38}"/>
    <cellStyle name="60% - Accent1 3" xfId="129" xr:uid="{A3DAA220-91DF-8B42-9C02-DA8DAC6A84BD}"/>
    <cellStyle name="60% - Accent2" xfId="130" builtinId="36" customBuiltin="1"/>
    <cellStyle name="60% - Accent2 2" xfId="131" xr:uid="{B2D72F1F-CFC6-4843-B764-1FD29D71F23E}"/>
    <cellStyle name="60% - Accent2 3" xfId="132" xr:uid="{5EE27CC6-F347-EF42-AA6E-C52BE0457128}"/>
    <cellStyle name="60% - Accent3" xfId="133" builtinId="40" customBuiltin="1"/>
    <cellStyle name="60% - Accent3 2" xfId="134" xr:uid="{33743E9C-817D-DF49-B656-0E9B069721BF}"/>
    <cellStyle name="60% - Accent3 3" xfId="135" xr:uid="{65F965A5-8D76-7444-9CEB-DFF0C6AFCA20}"/>
    <cellStyle name="60% - Accent4" xfId="136" builtinId="44" customBuiltin="1"/>
    <cellStyle name="60% - Accent4 2" xfId="137" xr:uid="{CCD7B449-28DB-0446-BF06-8E82DA2372B8}"/>
    <cellStyle name="60% - Accent4 3" xfId="138" xr:uid="{04DC8AA5-C3D7-0F46-9BB5-F0BABD1FF96E}"/>
    <cellStyle name="60% - Accent5" xfId="139" builtinId="48" customBuiltin="1"/>
    <cellStyle name="60% - Accent5 2" xfId="140" xr:uid="{49685D71-22BC-0249-9BD7-AEDE1F647FA6}"/>
    <cellStyle name="60% - Accent5 3" xfId="141" xr:uid="{EA2C1998-2F13-954A-B31C-D9B21448E13A}"/>
    <cellStyle name="60% - Accent6" xfId="142" builtinId="52" customBuiltin="1"/>
    <cellStyle name="60% - Accent6 2" xfId="143" xr:uid="{9FF5D4F2-8830-4B44-AD21-B295301B37BA}"/>
    <cellStyle name="60% - Accent6 3" xfId="144" xr:uid="{1B370EC8-B563-5448-BF2C-6F1712738E6A}"/>
    <cellStyle name="Accent1" xfId="145" builtinId="29" customBuiltin="1"/>
    <cellStyle name="Accent1 2" xfId="146" xr:uid="{5C0E4AB1-760B-F04E-A54A-4211D8CB6C9A}"/>
    <cellStyle name="Accent1 3" xfId="147" xr:uid="{862D1C5B-2AA7-354A-8557-1DCB52B4E9F5}"/>
    <cellStyle name="Accent2" xfId="148" builtinId="33" customBuiltin="1"/>
    <cellStyle name="Accent2 2" xfId="149" xr:uid="{9CB6AB77-DEFC-9F45-A05D-F8243035E7B4}"/>
    <cellStyle name="Accent2 3" xfId="150" xr:uid="{D4973EBE-D07D-5F43-BA0D-22DC46A2C722}"/>
    <cellStyle name="Accent3" xfId="151" builtinId="37" customBuiltin="1"/>
    <cellStyle name="Accent3 2" xfId="152" xr:uid="{7A6D8D10-2FEF-1B4B-95AA-CEBFF935B0E4}"/>
    <cellStyle name="Accent3 3" xfId="153" xr:uid="{245F7F26-A321-CF45-90D5-07E8CBE0B480}"/>
    <cellStyle name="Accent4" xfId="154" builtinId="41" customBuiltin="1"/>
    <cellStyle name="Accent4 2" xfId="155" xr:uid="{E4EB721C-BB3C-2B4D-BF1A-7269194BDD6E}"/>
    <cellStyle name="Accent4 3" xfId="156" xr:uid="{A0555A59-C2DA-E548-8E40-F59D2AE4759C}"/>
    <cellStyle name="Accent5" xfId="157" builtinId="45" customBuiltin="1"/>
    <cellStyle name="Accent5 2" xfId="158" xr:uid="{15AB06CF-2D02-544D-AC53-6630797E3A55}"/>
    <cellStyle name="Accent5 3" xfId="159" xr:uid="{D305E053-DB2B-E84C-87FB-FF54FD5CD3DD}"/>
    <cellStyle name="Accent6" xfId="160" builtinId="49" customBuiltin="1"/>
    <cellStyle name="Accent6 2" xfId="161" xr:uid="{468C10EC-6385-F64E-8DC7-0129839F4A10}"/>
    <cellStyle name="Accent6 3" xfId="162" xr:uid="{7D386B0F-0672-6E4C-A278-5527AD73E63F}"/>
    <cellStyle name="Bad" xfId="163" builtinId="27" customBuiltin="1"/>
    <cellStyle name="Bad 2" xfId="164" xr:uid="{F28DB9AB-5AF2-E94F-A1EF-B752CB7EDE2E}"/>
    <cellStyle name="Bad 3" xfId="165" xr:uid="{610A89CE-A9DC-7742-84E2-79479B923B8F}"/>
    <cellStyle name="Calculation" xfId="166" builtinId="22" customBuiltin="1"/>
    <cellStyle name="Calculation 2" xfId="167" xr:uid="{6BD3E153-FFDB-2A4B-960A-684B335FE84B}"/>
    <cellStyle name="Calculation 3" xfId="168" xr:uid="{5155E332-9F32-7948-85C5-CF82FBAE0C2E}"/>
    <cellStyle name="Check Cell" xfId="169" builtinId="23" customBuiltin="1"/>
    <cellStyle name="Check Cell 2" xfId="170" xr:uid="{E47A05AB-7A13-B441-8328-456C356906E3}"/>
    <cellStyle name="Check Cell 3" xfId="171" xr:uid="{4400919B-1A6C-B54A-9D9C-8EC342C709D2}"/>
    <cellStyle name="Comma" xfId="172" builtinId="3"/>
    <cellStyle name="Comma 2" xfId="173" xr:uid="{ADA1278C-71DC-7348-8919-8562672C606F}"/>
    <cellStyle name="Comma 2 2" xfId="174" xr:uid="{6CC997B8-7196-7542-A1F3-39BDB78FE258}"/>
    <cellStyle name="Comma 3" xfId="175" xr:uid="{FC07E697-7FA0-4441-A747-8DA52888F46B}"/>
    <cellStyle name="Explanatory Text" xfId="176" builtinId="53" customBuiltin="1"/>
    <cellStyle name="Explanatory Text 2" xfId="177" xr:uid="{5245A06A-2184-A44B-9760-636D0C601D14}"/>
    <cellStyle name="Good" xfId="178" builtinId="26" customBuiltin="1"/>
    <cellStyle name="Good 2" xfId="179" xr:uid="{6EDB565E-8CE3-D644-8691-8BC55E7EC876}"/>
    <cellStyle name="Good 3" xfId="180" xr:uid="{445CBC48-0DC9-914C-BB85-3A062E6E3DDB}"/>
    <cellStyle name="Heading 1" xfId="181" builtinId="16" customBuiltin="1"/>
    <cellStyle name="Heading 1 2" xfId="182" xr:uid="{95E30E19-0197-CF47-BFA8-1EEE4E6E5766}"/>
    <cellStyle name="Heading 2" xfId="183" builtinId="17" customBuiltin="1"/>
    <cellStyle name="Heading 2 2" xfId="184" xr:uid="{9492B457-3940-5741-AAD0-9B6919726790}"/>
    <cellStyle name="Heading 2 2 2" xfId="185" xr:uid="{BB665144-3665-1C4C-ABB6-39170E2427DB}"/>
    <cellStyle name="Heading 2 2 2 2" xfId="186" xr:uid="{E5ED232D-BAF3-2849-9121-297574E29650}"/>
    <cellStyle name="Heading 2 2 2 2 2" xfId="187" xr:uid="{734B9823-0572-0849-9109-1DAE88D5F8EF}"/>
    <cellStyle name="Heading 2 2 2 2 2 2" xfId="188" xr:uid="{BE3D6F05-2830-D845-BAE9-DFD5A48081AB}"/>
    <cellStyle name="Heading 2 2 2 2 2 2 2" xfId="189" xr:uid="{9843C379-15B5-6C42-B517-4250FA27BECA}"/>
    <cellStyle name="Heading 2 2 2 2 2 2 2 2" xfId="190" xr:uid="{5B369A25-F1BE-8B4C-B26F-B0F5F9723EA3}"/>
    <cellStyle name="Heading 2 3" xfId="191" xr:uid="{BF68020E-0FE1-B84C-AA63-6F2C51D6CC88}"/>
    <cellStyle name="Heading 2 3 2" xfId="192" xr:uid="{D02CD0D1-2DE5-9C47-B0B9-FFEAC1042C68}"/>
    <cellStyle name="Heading 2 3 2 2" xfId="193" xr:uid="{48B2A62D-5C9C-4748-932F-F46A94B33224}"/>
    <cellStyle name="Heading 2 3 2 2 2" xfId="194" xr:uid="{98888A6C-66C0-C147-BE95-1DFFA4A8C208}"/>
    <cellStyle name="Heading 3" xfId="195" builtinId="18" customBuiltin="1"/>
    <cellStyle name="Heading 3 2" xfId="196" xr:uid="{F297E25C-6291-2A40-A89D-FC4033E77403}"/>
    <cellStyle name="Heading 4" xfId="197" builtinId="19" customBuiltin="1"/>
    <cellStyle name="Heading 4 2" xfId="198" xr:uid="{9B18AD94-880F-2D46-A0CB-7E6F871F8749}"/>
    <cellStyle name="Hyperlink" xfId="199" builtinId="8"/>
    <cellStyle name="Hyperlink 2" xfId="200" xr:uid="{46601858-E698-6440-A6FA-36C033954F63}"/>
    <cellStyle name="Input" xfId="201" builtinId="20" customBuiltin="1"/>
    <cellStyle name="Input 2" xfId="202" xr:uid="{9B91DDEF-C015-8646-B103-BFCC58C2AAB4}"/>
    <cellStyle name="Input 3" xfId="203" xr:uid="{AE1BF71C-12AC-CF42-9EA1-25ACBC6027AA}"/>
    <cellStyle name="Linked Cell" xfId="204" builtinId="24" customBuiltin="1"/>
    <cellStyle name="Linked Cell 2" xfId="205" xr:uid="{56FC4FF7-A452-9041-AC83-57A6D2FFC942}"/>
    <cellStyle name="Neutral" xfId="206" builtinId="28" customBuiltin="1"/>
    <cellStyle name="Neutral 2" xfId="207" xr:uid="{0A61A376-72EA-E24C-9FE2-3080FB51CEE1}"/>
    <cellStyle name="Neutral 3" xfId="208" xr:uid="{905D3765-551A-5241-8F3F-78FA85A2E672}"/>
    <cellStyle name="Normal" xfId="0" builtinId="0"/>
    <cellStyle name="Normal 2" xfId="209" xr:uid="{97995ABD-E511-DF4D-A0C8-344E5406A4E8}"/>
    <cellStyle name="Note" xfId="210" builtinId="10" customBuiltin="1"/>
    <cellStyle name="Note 2" xfId="211" xr:uid="{2B12DDFA-2273-EF47-AB5B-C332153BB2FD}"/>
    <cellStyle name="Note 3" xfId="212" xr:uid="{D283F20D-03DC-A34F-BEFC-26AE8934AC2C}"/>
    <cellStyle name="Output" xfId="213" builtinId="21" customBuiltin="1"/>
    <cellStyle name="Output 2" xfId="214" xr:uid="{3C1893B6-2C90-4842-B600-32859A933ECF}"/>
    <cellStyle name="Output 3" xfId="215" xr:uid="{C551EF9C-B779-4F40-B692-A393BC41F17C}"/>
    <cellStyle name="Per cent" xfId="216" builtinId="5"/>
    <cellStyle name="Percent 2" xfId="217" xr:uid="{44122315-D1F5-DC45-AF76-8C3E427201D6}"/>
    <cellStyle name="Percent 3" xfId="218" xr:uid="{4DE7FEAA-28C2-854E-A1DA-0E825433B19C}"/>
    <cellStyle name="Title" xfId="219" builtinId="15" customBuiltin="1"/>
    <cellStyle name="Title 2" xfId="220" xr:uid="{009EA126-0D09-A949-A523-D592CEFF30DB}"/>
    <cellStyle name="Total" xfId="221" builtinId="25" customBuiltin="1"/>
    <cellStyle name="Total 2" xfId="222" xr:uid="{F849DA8C-1502-F14C-BE5A-F23E45B21041}"/>
    <cellStyle name="Warning Text" xfId="223" builtinId="11" customBuiltin="1"/>
    <cellStyle name="Warning Text 2" xfId="224" xr:uid="{E3818882-5EFF-2A4A-9298-67B4E54C29C8}"/>
    <cellStyle name="Warning Text 3" xfId="225" xr:uid="{20537A5D-9924-E347-8331-11CFA99752FD}"/>
  </cellStyles>
  <dxfs count="67"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ill>
        <patternFill>
          <bgColor rgb="FFFFEEB7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theme="0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theme="0"/>
        </patternFill>
      </fill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ont>
        <condense val="0"/>
        <extend val="0"/>
        <color theme="0"/>
      </font>
      <fill>
        <patternFill patternType="none">
          <bgColor indexed="65"/>
        </patternFill>
      </fill>
      <border>
        <start/>
        <end/>
        <top/>
        <bottom/>
      </border>
    </dxf>
    <dxf>
      <fill>
        <patternFill>
          <bgColor rgb="FFFFEE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theme" Target="theme/theme1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externalLink" Target="externalLinks/externalLink2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29" Type="http://purl.oclc.org/ooxml/officeDocument/relationships/calcChain" Target="calcChai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externalLink" Target="externalLinks/externalLink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sharedStrings" Target="sharedStrings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styles" Target="style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254000</xdr:colOff>
          <xdr:row>6</xdr:row>
          <xdr:rowOff>177800</xdr:rowOff>
        </xdr:from>
        <xdr:to>
          <xdr:col>1</xdr:col>
          <xdr:colOff>2209800</xdr:colOff>
          <xdr:row>6</xdr:row>
          <xdr:rowOff>723900</xdr:rowOff>
        </xdr:to>
        <xdr:sp macro="" textlink="">
          <xdr:nvSpPr>
            <xdr:cNvPr id="4097" name="Comment 1">
              <a:extLst>
                <a:ext uri="{FF2B5EF4-FFF2-40B4-BE49-F238E27FC236}">
                  <a16:creationId xmlns:a16="http://schemas.microsoft.com/office/drawing/2014/main" id="{B5C6489E-A127-FEE4-30B6-0A943C86271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54000" y="1549400"/>
              <a:ext cx="24257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127000</xdr:colOff>
          <xdr:row>7</xdr:row>
          <xdr:rowOff>228600</xdr:rowOff>
        </xdr:from>
        <xdr:to>
          <xdr:col>1</xdr:col>
          <xdr:colOff>2209800</xdr:colOff>
          <xdr:row>8</xdr:row>
          <xdr:rowOff>228600</xdr:rowOff>
        </xdr:to>
        <xdr:sp macro="" textlink="">
          <xdr:nvSpPr>
            <xdr:cNvPr id="4098" name="Comment 2">
              <a:extLst>
                <a:ext uri="{FF2B5EF4-FFF2-40B4-BE49-F238E27FC236}">
                  <a16:creationId xmlns:a16="http://schemas.microsoft.com/office/drawing/2014/main" id="{4DCB51CC-7B0B-A7D0-F375-FE3B81303A9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900" y="2387600"/>
              <a:ext cx="2082800" cy="7874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Da-1 für "Dächer / Decken gegen aussen" De-1 für "Übrige Decken"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279400</xdr:colOff>
          <xdr:row>6</xdr:row>
          <xdr:rowOff>190500</xdr:rowOff>
        </xdr:from>
        <xdr:to>
          <xdr:col>1</xdr:col>
          <xdr:colOff>2197100</xdr:colOff>
          <xdr:row>6</xdr:row>
          <xdr:rowOff>723900</xdr:rowOff>
        </xdr:to>
        <xdr:sp macro="" textlink="">
          <xdr:nvSpPr>
            <xdr:cNvPr id="3073" name="Comment 1">
              <a:extLst>
                <a:ext uri="{FF2B5EF4-FFF2-40B4-BE49-F238E27FC236}">
                  <a16:creationId xmlns:a16="http://schemas.microsoft.com/office/drawing/2014/main" id="{F5BB20A9-91EA-303E-1458-D2EBBD860CE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9400" y="1562100"/>
              <a:ext cx="2387600" cy="5334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241300</xdr:colOff>
          <xdr:row>7</xdr:row>
          <xdr:rowOff>266700</xdr:rowOff>
        </xdr:from>
        <xdr:to>
          <xdr:col>1</xdr:col>
          <xdr:colOff>2108200</xdr:colOff>
          <xdr:row>8</xdr:row>
          <xdr:rowOff>254000</xdr:rowOff>
        </xdr:to>
        <xdr:sp macro="" textlink="">
          <xdr:nvSpPr>
            <xdr:cNvPr id="3074" name="Comment 2">
              <a:extLst>
                <a:ext uri="{FF2B5EF4-FFF2-40B4-BE49-F238E27FC236}">
                  <a16:creationId xmlns:a16="http://schemas.microsoft.com/office/drawing/2014/main" id="{63E5C886-3EB5-9FA3-1CE9-5F4254894D9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1200" y="2425700"/>
              <a:ext cx="18669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W-1 für "Wände gegen aussen" Wx-1 für "Übrige Wände"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266700</xdr:colOff>
          <xdr:row>4</xdr:row>
          <xdr:rowOff>177800</xdr:rowOff>
        </xdr:from>
        <xdr:to>
          <xdr:col>1</xdr:col>
          <xdr:colOff>2171700</xdr:colOff>
          <xdr:row>4</xdr:row>
          <xdr:rowOff>723900</xdr:rowOff>
        </xdr:to>
        <xdr:sp macro="" textlink="">
          <xdr:nvSpPr>
            <xdr:cNvPr id="5121" name="Comment 1">
              <a:extLst>
                <a:ext uri="{FF2B5EF4-FFF2-40B4-BE49-F238E27FC236}">
                  <a16:creationId xmlns:a16="http://schemas.microsoft.com/office/drawing/2014/main" id="{D7CF7AAC-3554-6D13-21CD-14D54D3D9B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6700" y="1168400"/>
              <a:ext cx="23749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12700</xdr:colOff>
          <xdr:row>7</xdr:row>
          <xdr:rowOff>38100</xdr:rowOff>
        </xdr:from>
        <xdr:to>
          <xdr:col>4</xdr:col>
          <xdr:colOff>635000</xdr:colOff>
          <xdr:row>7</xdr:row>
          <xdr:rowOff>685800</xdr:rowOff>
        </xdr:to>
        <xdr:sp macro="" textlink="">
          <xdr:nvSpPr>
            <xdr:cNvPr id="5123" name="Comment 3">
              <a:extLst>
                <a:ext uri="{FF2B5EF4-FFF2-40B4-BE49-F238E27FC236}">
                  <a16:creationId xmlns:a16="http://schemas.microsoft.com/office/drawing/2014/main" id="{25281E85-823F-58D9-703A-8298700D98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30500" y="2794000"/>
              <a:ext cx="2882900" cy="647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endParaRPr lang="en-GB" sz="900" b="0" i="0" u="none" strike="noStrike" baseline="0%">
                <a:solidFill>
                  <a:srgbClr val="00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Um ohne Fensterabzug zu arbeiten, darf kein Fenster eingebaut sein.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88900</xdr:colOff>
          <xdr:row>7</xdr:row>
          <xdr:rowOff>38100</xdr:rowOff>
        </xdr:from>
        <xdr:to>
          <xdr:col>1</xdr:col>
          <xdr:colOff>2159000</xdr:colOff>
          <xdr:row>7</xdr:row>
          <xdr:rowOff>685800</xdr:rowOff>
        </xdr:to>
        <xdr:sp macro="" textlink="">
          <xdr:nvSpPr>
            <xdr:cNvPr id="5124" name="Comment 4">
              <a:extLst>
                <a:ext uri="{FF2B5EF4-FFF2-40B4-BE49-F238E27FC236}">
                  <a16:creationId xmlns:a16="http://schemas.microsoft.com/office/drawing/2014/main" id="{CAB78913-C6D6-E94B-6DF9-04E5DCE64E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8800" y="2794000"/>
              <a:ext cx="2070100" cy="647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Fe-1 für "Fenster" T-1 für "Türen"</a:t>
              </a:r>
            </a:p>
          </xdr:txBody>
        </xdr:sp>
        <xdr:clientData/>
      </xdr:twoCellAnchor>
    </mc:Fallback>
  </mc:AlternateContent>
</xdr:wsDr>
</file>

<file path=xl/drawings/drawing4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292100</xdr:colOff>
          <xdr:row>6</xdr:row>
          <xdr:rowOff>190500</xdr:rowOff>
        </xdr:from>
        <xdr:to>
          <xdr:col>1</xdr:col>
          <xdr:colOff>2159000</xdr:colOff>
          <xdr:row>6</xdr:row>
          <xdr:rowOff>723900</xdr:rowOff>
        </xdr:to>
        <xdr:sp macro="" textlink="">
          <xdr:nvSpPr>
            <xdr:cNvPr id="6145" name="Comment 1">
              <a:extLst>
                <a:ext uri="{FF2B5EF4-FFF2-40B4-BE49-F238E27FC236}">
                  <a16:creationId xmlns:a16="http://schemas.microsoft.com/office/drawing/2014/main" id="{D5C2265E-6D9D-3A28-0D5E-3E768B06467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2100" y="1562100"/>
              <a:ext cx="2336800" cy="5334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266700</xdr:colOff>
          <xdr:row>7</xdr:row>
          <xdr:rowOff>266700</xdr:rowOff>
        </xdr:from>
        <xdr:to>
          <xdr:col>1</xdr:col>
          <xdr:colOff>2146300</xdr:colOff>
          <xdr:row>8</xdr:row>
          <xdr:rowOff>254000</xdr:rowOff>
        </xdr:to>
        <xdr:sp macro="" textlink="">
          <xdr:nvSpPr>
            <xdr:cNvPr id="6147" name="Comment 3">
              <a:extLst>
                <a:ext uri="{FF2B5EF4-FFF2-40B4-BE49-F238E27FC236}">
                  <a16:creationId xmlns:a16="http://schemas.microsoft.com/office/drawing/2014/main" id="{2CEA16E4-C3E3-E574-AF71-B0F9FBB82A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6600" y="2425700"/>
              <a:ext cx="18796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Bo-1 für "Böden gegen aussen" Bx-1 für "Sonstige Böden"</a:t>
              </a:r>
            </a:p>
          </xdr:txBody>
        </xdr:sp>
        <xdr:clientData/>
      </xdr:twoCellAnchor>
    </mc:Fallback>
  </mc:AlternateContent>
</xdr:wsDr>
</file>

<file path=xl/drawings/drawing5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177800</xdr:colOff>
          <xdr:row>3</xdr:row>
          <xdr:rowOff>203200</xdr:rowOff>
        </xdr:from>
        <xdr:to>
          <xdr:col>1</xdr:col>
          <xdr:colOff>2171700</xdr:colOff>
          <xdr:row>3</xdr:row>
          <xdr:rowOff>762000</xdr:rowOff>
        </xdr:to>
        <xdr:sp macro="" textlink="">
          <xdr:nvSpPr>
            <xdr:cNvPr id="7169" name="Comment 1">
              <a:extLst>
                <a:ext uri="{FF2B5EF4-FFF2-40B4-BE49-F238E27FC236}">
                  <a16:creationId xmlns:a16="http://schemas.microsoft.com/office/drawing/2014/main" id="{66B484F8-90BE-3F44-4037-80FF018EEFD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7800" y="774700"/>
              <a:ext cx="2463800" cy="558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203200</xdr:colOff>
          <xdr:row>4</xdr:row>
          <xdr:rowOff>254000</xdr:rowOff>
        </xdr:from>
        <xdr:to>
          <xdr:col>1</xdr:col>
          <xdr:colOff>2171700</xdr:colOff>
          <xdr:row>5</xdr:row>
          <xdr:rowOff>241300</xdr:rowOff>
        </xdr:to>
        <xdr:sp macro="" textlink="">
          <xdr:nvSpPr>
            <xdr:cNvPr id="7172" name="Comment 4">
              <a:extLst>
                <a:ext uri="{FF2B5EF4-FFF2-40B4-BE49-F238E27FC236}">
                  <a16:creationId xmlns:a16="http://schemas.microsoft.com/office/drawing/2014/main" id="{ABCD05B3-E37F-C8CD-5B54-8B2138EB8C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3100" y="1612900"/>
              <a:ext cx="1968500" cy="774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WL-1 für "Wärmebrücken linear " WR-1 für "Wärmebrücken punktförmig"</a:t>
              </a:r>
            </a:p>
          </xdr:txBody>
        </xdr:sp>
        <xdr:clientData/>
      </xdr:twoCellAnchor>
    </mc:Fallback>
  </mc:AlternateContent>
</xdr:wsDr>
</file>

<file path=xl/drawings/drawing6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482600</xdr:colOff>
          <xdr:row>1</xdr:row>
          <xdr:rowOff>50800</xdr:rowOff>
        </xdr:from>
        <xdr:to>
          <xdr:col>4</xdr:col>
          <xdr:colOff>825500</xdr:colOff>
          <xdr:row>1</xdr:row>
          <xdr:rowOff>546100</xdr:rowOff>
        </xdr:to>
        <xdr:sp macro="" textlink="">
          <xdr:nvSpPr>
            <xdr:cNvPr id="8193" name="Comment 1">
              <a:extLst>
                <a:ext uri="{FF2B5EF4-FFF2-40B4-BE49-F238E27FC236}">
                  <a16:creationId xmlns:a16="http://schemas.microsoft.com/office/drawing/2014/main" id="{6C2CBD31-BBEB-F6E2-4314-0DDDE421DA5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41400" y="241300"/>
              <a:ext cx="3886200" cy="4953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WE-1, WE-2, WE-3, WE-4, WE-5-1 für "Wärmeerzeuger"</a:t>
              </a:r>
            </a:p>
          </xdr:txBody>
        </xdr:sp>
        <xdr:clientData/>
      </xdr:twoCellAnchor>
    </mc:Fallback>
  </mc:AlternateContent>
</xdr:wsDr>
</file>

<file path=xl/drawings/drawing7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317500</xdr:colOff>
          <xdr:row>5</xdr:row>
          <xdr:rowOff>139700</xdr:rowOff>
        </xdr:from>
        <xdr:to>
          <xdr:col>1</xdr:col>
          <xdr:colOff>2032000</xdr:colOff>
          <xdr:row>6</xdr:row>
          <xdr:rowOff>0</xdr:rowOff>
        </xdr:to>
        <xdr:sp macro="" textlink="">
          <xdr:nvSpPr>
            <xdr:cNvPr id="9217" name="Comment 1">
              <a:extLst>
                <a:ext uri="{FF2B5EF4-FFF2-40B4-BE49-F238E27FC236}">
                  <a16:creationId xmlns:a16="http://schemas.microsoft.com/office/drawing/2014/main" id="{BB45F390-8252-8D6E-9BAD-246C5C99F8C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17500" y="1092200"/>
              <a:ext cx="2286000" cy="647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165100</xdr:colOff>
          <xdr:row>7</xdr:row>
          <xdr:rowOff>0</xdr:rowOff>
        </xdr:from>
        <xdr:to>
          <xdr:col>1</xdr:col>
          <xdr:colOff>2032000</xdr:colOff>
          <xdr:row>8</xdr:row>
          <xdr:rowOff>0</xdr:rowOff>
        </xdr:to>
        <xdr:sp macro="" textlink="">
          <xdr:nvSpPr>
            <xdr:cNvPr id="9220" name="Comment 4">
              <a:extLst>
                <a:ext uri="{FF2B5EF4-FFF2-40B4-BE49-F238E27FC236}">
                  <a16:creationId xmlns:a16="http://schemas.microsoft.com/office/drawing/2014/main" id="{02BA4CD4-E932-BE14-61BD-507E52243B8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6600" y="2527300"/>
              <a:ext cx="18669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HE-1 für "Versorgter Bereich Heizung"</a:t>
              </a:r>
            </a:p>
          </xdr:txBody>
        </xdr:sp>
        <xdr:clientData/>
      </xdr:twoCellAnchor>
    </mc:Fallback>
  </mc:AlternateContent>
</xdr:wsDr>
</file>

<file path=xl/drawings/drawing8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292100</xdr:colOff>
          <xdr:row>5</xdr:row>
          <xdr:rowOff>152400</xdr:rowOff>
        </xdr:from>
        <xdr:to>
          <xdr:col>1</xdr:col>
          <xdr:colOff>2082800</xdr:colOff>
          <xdr:row>6</xdr:row>
          <xdr:rowOff>0</xdr:rowOff>
        </xdr:to>
        <xdr:sp macro="" textlink="">
          <xdr:nvSpPr>
            <xdr:cNvPr id="10241" name="Comment 1">
              <a:extLst>
                <a:ext uri="{FF2B5EF4-FFF2-40B4-BE49-F238E27FC236}">
                  <a16:creationId xmlns:a16="http://schemas.microsoft.com/office/drawing/2014/main" id="{0024463E-482F-F651-F320-FCE771F9947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2100" y="1104900"/>
              <a:ext cx="2362200" cy="6350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6</xdr:row>
          <xdr:rowOff>647700</xdr:rowOff>
        </xdr:from>
        <xdr:to>
          <xdr:col>1</xdr:col>
          <xdr:colOff>2032000</xdr:colOff>
          <xdr:row>8</xdr:row>
          <xdr:rowOff>0</xdr:rowOff>
        </xdr:to>
        <xdr:sp macro="" textlink="">
          <xdr:nvSpPr>
            <xdr:cNvPr id="10242" name="Comment 2">
              <a:extLst>
                <a:ext uri="{FF2B5EF4-FFF2-40B4-BE49-F238E27FC236}">
                  <a16:creationId xmlns:a16="http://schemas.microsoft.com/office/drawing/2014/main" id="{191F7234-6C13-30E1-8AB5-CBA187092C5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9300" y="2387600"/>
              <a:ext cx="1854200" cy="482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WW-1 für "Versorgter Bereich Warmwasser"</a:t>
              </a:r>
            </a:p>
          </xdr:txBody>
        </xdr:sp>
        <xdr:clientData/>
      </xdr:twoCellAnchor>
    </mc:Fallback>
  </mc:AlternateContent>
</xdr:wsDr>
</file>

<file path=xl/drawings/drawing9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381000</xdr:colOff>
          <xdr:row>4</xdr:row>
          <xdr:rowOff>203200</xdr:rowOff>
        </xdr:from>
        <xdr:to>
          <xdr:col>1</xdr:col>
          <xdr:colOff>2209800</xdr:colOff>
          <xdr:row>5</xdr:row>
          <xdr:rowOff>0</xdr:rowOff>
        </xdr:to>
        <xdr:sp macro="" textlink="">
          <xdr:nvSpPr>
            <xdr:cNvPr id="12289" name="Comment 1">
              <a:extLst>
                <a:ext uri="{FF2B5EF4-FFF2-40B4-BE49-F238E27FC236}">
                  <a16:creationId xmlns:a16="http://schemas.microsoft.com/office/drawing/2014/main" id="{BAC8B078-4CFE-8AE1-B3F1-EAE3749C09F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1000" y="965200"/>
              <a:ext cx="2476500" cy="5842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bei Wohnnutzung (EFH/MFH).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50800</xdr:colOff>
          <xdr:row>4</xdr:row>
          <xdr:rowOff>88900</xdr:rowOff>
        </xdr:from>
        <xdr:to>
          <xdr:col>9</xdr:col>
          <xdr:colOff>660400</xdr:colOff>
          <xdr:row>6</xdr:row>
          <xdr:rowOff>0</xdr:rowOff>
        </xdr:to>
        <xdr:sp macro="" textlink="">
          <xdr:nvSpPr>
            <xdr:cNvPr id="12290" name="Comment 2">
              <a:extLst>
                <a:ext uri="{FF2B5EF4-FFF2-40B4-BE49-F238E27FC236}">
                  <a16:creationId xmlns:a16="http://schemas.microsoft.com/office/drawing/2014/main" id="{2B6B9A25-76D7-B980-D93F-5400727FB7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468100" y="850900"/>
              <a:ext cx="1346200" cy="14859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139700</xdr:colOff>
          <xdr:row>6</xdr:row>
          <xdr:rowOff>0</xdr:rowOff>
        </xdr:from>
        <xdr:to>
          <xdr:col>1</xdr:col>
          <xdr:colOff>2006600</xdr:colOff>
          <xdr:row>8</xdr:row>
          <xdr:rowOff>0</xdr:rowOff>
        </xdr:to>
        <xdr:sp macro="" textlink="">
          <xdr:nvSpPr>
            <xdr:cNvPr id="12291" name="Comment 3">
              <a:extLst>
                <a:ext uri="{FF2B5EF4-FFF2-40B4-BE49-F238E27FC236}">
                  <a16:creationId xmlns:a16="http://schemas.microsoft.com/office/drawing/2014/main" id="{91F2D47E-C2FD-5FB4-4479-5A0674D353A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7400" y="2336800"/>
              <a:ext cx="18669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GE-1 für "Geräte und Installationen"</a:t>
              </a:r>
            </a:p>
          </xdr:txBody>
        </xdr:sp>
        <xdr:clientData/>
      </xdr:twoCellAnchor>
    </mc:Fallback>
  </mc:AlternateContent>
</xdr:wsDr>
</file>

<file path=xl/drawings/drawing10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876300</xdr:colOff>
          <xdr:row>1</xdr:row>
          <xdr:rowOff>76200</xdr:rowOff>
        </xdr:from>
        <xdr:to>
          <xdr:col>12</xdr:col>
          <xdr:colOff>393700</xdr:colOff>
          <xdr:row>3</xdr:row>
          <xdr:rowOff>228600</xdr:rowOff>
        </xdr:to>
        <xdr:sp macro="" textlink="">
          <xdr:nvSpPr>
            <xdr:cNvPr id="13314" name="Comment 2">
              <a:extLst>
                <a:ext uri="{FF2B5EF4-FFF2-40B4-BE49-F238E27FC236}">
                  <a16:creationId xmlns:a16="http://schemas.microsoft.com/office/drawing/2014/main" id="{DC0BFEE9-90E2-A3FC-AB42-975E990B13D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030200" y="266700"/>
              <a:ext cx="1879600" cy="812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76200</xdr:colOff>
          <xdr:row>1</xdr:row>
          <xdr:rowOff>50800</xdr:rowOff>
        </xdr:from>
        <xdr:to>
          <xdr:col>3</xdr:col>
          <xdr:colOff>292100</xdr:colOff>
          <xdr:row>2</xdr:row>
          <xdr:rowOff>101600</xdr:rowOff>
        </xdr:to>
        <xdr:sp macro="" textlink="">
          <xdr:nvSpPr>
            <xdr:cNvPr id="13315" name="Comment 3">
              <a:extLst>
                <a:ext uri="{FF2B5EF4-FFF2-40B4-BE49-F238E27FC236}">
                  <a16:creationId xmlns:a16="http://schemas.microsoft.com/office/drawing/2014/main" id="{D13DA15A-E266-8210-135C-B4041D067B0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241300"/>
              <a:ext cx="4432300" cy="2413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bei Wohnnutzung (EFH/MFH).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76200</xdr:colOff>
          <xdr:row>1</xdr:row>
          <xdr:rowOff>114300</xdr:rowOff>
        </xdr:from>
        <xdr:to>
          <xdr:col>6</xdr:col>
          <xdr:colOff>12700</xdr:colOff>
          <xdr:row>2</xdr:row>
          <xdr:rowOff>419100</xdr:rowOff>
        </xdr:to>
        <xdr:sp macro="" textlink="">
          <xdr:nvSpPr>
            <xdr:cNvPr id="13316" name="Comment 4">
              <a:extLst>
                <a:ext uri="{FF2B5EF4-FFF2-40B4-BE49-F238E27FC236}">
                  <a16:creationId xmlns:a16="http://schemas.microsoft.com/office/drawing/2014/main" id="{21F180BA-C26B-421C-4B76-5279EFBB86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83400" y="304800"/>
              <a:ext cx="1866900" cy="4953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1" i="0" u="none" strike="noStrike" baseline="0%">
                <a:solidFill>
                  <a:srgbClr val="FF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mind. 80 % der EBF ist zu bedecken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50800</xdr:colOff>
          <xdr:row>2</xdr:row>
          <xdr:rowOff>152400</xdr:rowOff>
        </xdr:from>
        <xdr:to>
          <xdr:col>3</xdr:col>
          <xdr:colOff>292100</xdr:colOff>
          <xdr:row>2</xdr:row>
          <xdr:rowOff>406400</xdr:rowOff>
        </xdr:to>
        <xdr:sp macro="" textlink="">
          <xdr:nvSpPr>
            <xdr:cNvPr id="13318" name="Comment 6">
              <a:extLst>
                <a:ext uri="{FF2B5EF4-FFF2-40B4-BE49-F238E27FC236}">
                  <a16:creationId xmlns:a16="http://schemas.microsoft.com/office/drawing/2014/main" id="{9F4CE75F-8F73-E6DF-4098-81C0833F838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8500" y="533400"/>
              <a:ext cx="4457700" cy="254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KE-1 für "Kleingeräte und Elektronik"</a:t>
              </a:r>
            </a:p>
          </xdr:txBody>
        </xdr:sp>
        <xdr:clientData/>
      </xdr:twoCellAnchor>
    </mc:Fallback>
  </mc:AlternateContent>
</xdr:wsDr>
</file>

<file path=xl/drawings/drawing1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76200</xdr:colOff>
          <xdr:row>1</xdr:row>
          <xdr:rowOff>88900</xdr:rowOff>
        </xdr:from>
        <xdr:to>
          <xdr:col>7</xdr:col>
          <xdr:colOff>711200</xdr:colOff>
          <xdr:row>2</xdr:row>
          <xdr:rowOff>381000</xdr:rowOff>
        </xdr:to>
        <xdr:sp macro="" textlink="">
          <xdr:nvSpPr>
            <xdr:cNvPr id="14339" name="Comment 3">
              <a:extLst>
                <a:ext uri="{FF2B5EF4-FFF2-40B4-BE49-F238E27FC236}">
                  <a16:creationId xmlns:a16="http://schemas.microsoft.com/office/drawing/2014/main" id="{B5B6436C-9B09-92E0-DD40-05343D3357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83400" y="279400"/>
              <a:ext cx="3695700" cy="4826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1" i="0" u="none" strike="noStrike" baseline="0%">
                <a:solidFill>
                  <a:srgbClr val="FF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mind. 80 % der EBF ist zu bedecken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622300</xdr:colOff>
          <xdr:row>1</xdr:row>
          <xdr:rowOff>25400</xdr:rowOff>
        </xdr:from>
        <xdr:to>
          <xdr:col>12</xdr:col>
          <xdr:colOff>114300</xdr:colOff>
          <xdr:row>3</xdr:row>
          <xdr:rowOff>228600</xdr:rowOff>
        </xdr:to>
        <xdr:sp macro="" textlink="">
          <xdr:nvSpPr>
            <xdr:cNvPr id="14340" name="Comment 4">
              <a:extLst>
                <a:ext uri="{FF2B5EF4-FFF2-40B4-BE49-F238E27FC236}">
                  <a16:creationId xmlns:a16="http://schemas.microsoft.com/office/drawing/2014/main" id="{D589595E-50E6-B6CF-CC1F-BB72DF55345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169900" y="215900"/>
              <a:ext cx="1409700" cy="812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deaktivieren, um nicht vorhandene Standardgeräte aus der "Berechnung unter aktuellen Nutzung" zu löschen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1</xdr:row>
          <xdr:rowOff>114300</xdr:rowOff>
        </xdr:from>
        <xdr:to>
          <xdr:col>2</xdr:col>
          <xdr:colOff>482600</xdr:colOff>
          <xdr:row>2</xdr:row>
          <xdr:rowOff>304800</xdr:rowOff>
        </xdr:to>
        <xdr:sp macro="" textlink="">
          <xdr:nvSpPr>
            <xdr:cNvPr id="14342" name="Comment 6">
              <a:extLst>
                <a:ext uri="{FF2B5EF4-FFF2-40B4-BE49-F238E27FC236}">
                  <a16:creationId xmlns:a16="http://schemas.microsoft.com/office/drawing/2014/main" id="{8F8E81AB-CE2C-2C98-2206-41D3A2338B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5500" y="304800"/>
              <a:ext cx="24130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BL-1 für "Beleuchtung"</a:t>
              </a:r>
            </a:p>
          </xdr:txBody>
        </xdr:sp>
        <xdr:clientData/>
      </xdr:twoCellAnchor>
    </mc:Fallback>
  </mc:AlternateContent>
</xdr:wsDr>
</file>

<file path=xl/drawings/drawing1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419100</xdr:colOff>
          <xdr:row>4</xdr:row>
          <xdr:rowOff>215900</xdr:rowOff>
        </xdr:from>
        <xdr:to>
          <xdr:col>1</xdr:col>
          <xdr:colOff>1993900</xdr:colOff>
          <xdr:row>4</xdr:row>
          <xdr:rowOff>723900</xdr:rowOff>
        </xdr:to>
        <xdr:sp macro="" textlink="">
          <xdr:nvSpPr>
            <xdr:cNvPr id="15363" name="Comment 1027">
              <a:extLst>
                <a:ext uri="{FF2B5EF4-FFF2-40B4-BE49-F238E27FC236}">
                  <a16:creationId xmlns:a16="http://schemas.microsoft.com/office/drawing/2014/main" id="{F63DA343-7B1A-8160-9471-B2F1D05814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9100" y="977900"/>
              <a:ext cx="2222500" cy="5080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Tabelle nur für SIA Kat. III und IV (Schulen und Verwaltung).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393700</xdr:colOff>
          <xdr:row>6</xdr:row>
          <xdr:rowOff>0</xdr:rowOff>
        </xdr:from>
        <xdr:to>
          <xdr:col>1</xdr:col>
          <xdr:colOff>1866900</xdr:colOff>
          <xdr:row>9</xdr:row>
          <xdr:rowOff>12700</xdr:rowOff>
        </xdr:to>
        <xdr:sp macro="" textlink="">
          <xdr:nvSpPr>
            <xdr:cNvPr id="15365" name="Comment 1029">
              <a:extLst>
                <a:ext uri="{FF2B5EF4-FFF2-40B4-BE49-F238E27FC236}">
                  <a16:creationId xmlns:a16="http://schemas.microsoft.com/office/drawing/2014/main" id="{03FF0A11-3EB7-683B-0FB0-314AC1177F3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3700" y="2336800"/>
              <a:ext cx="2120900" cy="8255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BG-1 für "Betriebseinrichtungen und Geräte"</a:t>
              </a:r>
            </a:p>
          </xdr:txBody>
        </xdr:sp>
        <xdr:clientData/>
      </xdr:twoCellAnchor>
    </mc:Fallback>
  </mc:AlternateContent>
</xdr:wsDr>
</file>

<file path=xl/drawings/drawing1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139700</xdr:colOff>
          <xdr:row>5</xdr:row>
          <xdr:rowOff>317500</xdr:rowOff>
        </xdr:from>
        <xdr:to>
          <xdr:col>11</xdr:col>
          <xdr:colOff>0</xdr:colOff>
          <xdr:row>6</xdr:row>
          <xdr:rowOff>114300</xdr:rowOff>
        </xdr:to>
        <xdr:sp macro="" textlink="">
          <xdr:nvSpPr>
            <xdr:cNvPr id="16386" name="Comment 2">
              <a:extLst>
                <a:ext uri="{FF2B5EF4-FFF2-40B4-BE49-F238E27FC236}">
                  <a16:creationId xmlns:a16="http://schemas.microsoft.com/office/drawing/2014/main" id="{07A5FFAC-01C2-0F2D-BC51-EEF10B4E01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547600" y="2374900"/>
              <a:ext cx="2362200" cy="5842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</a:t>
              </a:r>
              <a:endParaRPr lang="en-GB" sz="900" b="0" i="0" u="none" strike="noStrike" baseline="0%">
                <a:solidFill>
                  <a:srgbClr val="000000"/>
                </a:solidFill>
                <a:latin typeface="Segoe UI" pitchFamily="2"/>
                <a:cs typeface="Segoe UI" pitchFamily="2"/>
              </a:endParaRPr>
            </a:p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Berücksichtigungsanteil erhöht bei PVOpti-Nachweis 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215900</xdr:colOff>
          <xdr:row>5</xdr:row>
          <xdr:rowOff>533400</xdr:rowOff>
        </xdr:from>
        <xdr:to>
          <xdr:col>3</xdr:col>
          <xdr:colOff>1054100</xdr:colOff>
          <xdr:row>6</xdr:row>
          <xdr:rowOff>101600</xdr:rowOff>
        </xdr:to>
        <xdr:sp macro="" textlink="">
          <xdr:nvSpPr>
            <xdr:cNvPr id="16387" name="Comment 3">
              <a:extLst>
                <a:ext uri="{FF2B5EF4-FFF2-40B4-BE49-F238E27FC236}">
                  <a16:creationId xmlns:a16="http://schemas.microsoft.com/office/drawing/2014/main" id="{5678CB29-09F5-205C-B69F-A39C5E87FD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50900" y="2590800"/>
              <a:ext cx="2108200" cy="355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EP-1 für "Elektrizitätsproduktion"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127000</xdr:colOff>
          <xdr:row>3</xdr:row>
          <xdr:rowOff>114300</xdr:rowOff>
        </xdr:from>
        <xdr:to>
          <xdr:col>3</xdr:col>
          <xdr:colOff>1879600</xdr:colOff>
          <xdr:row>4</xdr:row>
          <xdr:rowOff>469900</xdr:rowOff>
        </xdr:to>
        <xdr:sp macro="" textlink="">
          <xdr:nvSpPr>
            <xdr:cNvPr id="16388" name="Comment 4">
              <a:extLst>
                <a:ext uri="{FF2B5EF4-FFF2-40B4-BE49-F238E27FC236}">
                  <a16:creationId xmlns:a16="http://schemas.microsoft.com/office/drawing/2014/main" id="{6D9907B6-AB34-66EF-EAC2-90506D4064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97000" y="1193800"/>
              <a:ext cx="23876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</xdr:wsDr>
</file>

<file path=xl/drawings/drawing14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762000</xdr:colOff>
          <xdr:row>3</xdr:row>
          <xdr:rowOff>114300</xdr:rowOff>
        </xdr:from>
        <xdr:to>
          <xdr:col>2</xdr:col>
          <xdr:colOff>2197100</xdr:colOff>
          <xdr:row>4</xdr:row>
          <xdr:rowOff>469900</xdr:rowOff>
        </xdr:to>
        <xdr:sp macro="" textlink="">
          <xdr:nvSpPr>
            <xdr:cNvPr id="26625" name="Comment 1">
              <a:extLst>
                <a:ext uri="{FF2B5EF4-FFF2-40B4-BE49-F238E27FC236}">
                  <a16:creationId xmlns:a16="http://schemas.microsoft.com/office/drawing/2014/main" id="{8811C9E7-0BAE-8EFE-BC8A-D14276D7AB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97000" y="1193800"/>
              <a:ext cx="2387600" cy="5461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38100</xdr:colOff>
          <xdr:row>6</xdr:row>
          <xdr:rowOff>101600</xdr:rowOff>
        </xdr:from>
        <xdr:to>
          <xdr:col>4</xdr:col>
          <xdr:colOff>685800</xdr:colOff>
          <xdr:row>8</xdr:row>
          <xdr:rowOff>101600</xdr:rowOff>
        </xdr:to>
        <xdr:sp macro="" textlink="">
          <xdr:nvSpPr>
            <xdr:cNvPr id="26626" name="Comment 2">
              <a:extLst>
                <a:ext uri="{FF2B5EF4-FFF2-40B4-BE49-F238E27FC236}">
                  <a16:creationId xmlns:a16="http://schemas.microsoft.com/office/drawing/2014/main" id="{8FF3B9AB-0AB1-117E-0F94-630954C3B18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73500" y="2946400"/>
              <a:ext cx="3060700" cy="3810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999999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EM-1 für "Energiemanagementsystem (EMS)"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0</xdr:colOff>
          <xdr:row>14</xdr:row>
          <xdr:rowOff>139700</xdr:rowOff>
        </xdr:from>
        <xdr:to>
          <xdr:col>4</xdr:col>
          <xdr:colOff>622300</xdr:colOff>
          <xdr:row>16</xdr:row>
          <xdr:rowOff>152400</xdr:rowOff>
        </xdr:to>
        <xdr:sp macro="" textlink="">
          <xdr:nvSpPr>
            <xdr:cNvPr id="26628" name="Comment 4">
              <a:extLst>
                <a:ext uri="{FF2B5EF4-FFF2-40B4-BE49-F238E27FC236}">
                  <a16:creationId xmlns:a16="http://schemas.microsoft.com/office/drawing/2014/main" id="{852AE9C0-03AB-2E3E-9B82-52FCC904A5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835400" y="4749800"/>
              <a:ext cx="3035300" cy="393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EP-1 für "Elektrizitätsproduktion"</a:t>
              </a:r>
            </a:p>
          </xdr:txBody>
        </xdr:sp>
        <xdr:clientData/>
      </xdr:twoCellAnchor>
    </mc:Fallback>
  </mc:AlternateContent>
</xdr:wsDr>
</file>

<file path=xl/drawings/drawing15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571500</xdr:colOff>
          <xdr:row>0</xdr:row>
          <xdr:rowOff>0</xdr:rowOff>
        </xdr:from>
        <xdr:to>
          <xdr:col>10</xdr:col>
          <xdr:colOff>1028700</xdr:colOff>
          <xdr:row>3</xdr:row>
          <xdr:rowOff>304800</xdr:rowOff>
        </xdr:to>
        <xdr:sp macro="" textlink="">
          <xdr:nvSpPr>
            <xdr:cNvPr id="17413" name="Comment 5">
              <a:extLst>
                <a:ext uri="{FF2B5EF4-FFF2-40B4-BE49-F238E27FC236}">
                  <a16:creationId xmlns:a16="http://schemas.microsoft.com/office/drawing/2014/main" id="{2BF5CA3B-4620-3E7D-F9FF-81C29F2BB6D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1811000" y="0"/>
              <a:ext cx="1638300" cy="10287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A6332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Gebäudezugehörig wählen, um den Verbrauch in der Energie Etikette zu berücksichtigen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177800</xdr:colOff>
          <xdr:row>1</xdr:row>
          <xdr:rowOff>139700</xdr:rowOff>
        </xdr:from>
        <xdr:to>
          <xdr:col>2</xdr:col>
          <xdr:colOff>495300</xdr:colOff>
          <xdr:row>2</xdr:row>
          <xdr:rowOff>152400</xdr:rowOff>
        </xdr:to>
        <xdr:sp macro="" textlink="">
          <xdr:nvSpPr>
            <xdr:cNvPr id="17414" name="Comment 6">
              <a:extLst>
                <a:ext uri="{FF2B5EF4-FFF2-40B4-BE49-F238E27FC236}">
                  <a16:creationId xmlns:a16="http://schemas.microsoft.com/office/drawing/2014/main" id="{AFE6ECFF-E595-E945-D179-45C8194D1CA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25500" y="330200"/>
              <a:ext cx="2425700" cy="3556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WV-1 für "Weitere Verbraucher"</a:t>
              </a:r>
            </a:p>
          </xdr:txBody>
        </xdr:sp>
        <xdr:clientData/>
      </xdr:twoCellAnchor>
    </mc:Fallback>
  </mc:AlternateContent>
</xdr:wsDr>
</file>

<file path=xl/drawings/drawing16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177800</xdr:colOff>
          <xdr:row>3</xdr:row>
          <xdr:rowOff>203200</xdr:rowOff>
        </xdr:from>
        <xdr:to>
          <xdr:col>1</xdr:col>
          <xdr:colOff>2171700</xdr:colOff>
          <xdr:row>3</xdr:row>
          <xdr:rowOff>762000</xdr:rowOff>
        </xdr:to>
        <xdr:sp macro="" textlink="">
          <xdr:nvSpPr>
            <xdr:cNvPr id="22529" name="Comment 1">
              <a:extLst>
                <a:ext uri="{FF2B5EF4-FFF2-40B4-BE49-F238E27FC236}">
                  <a16:creationId xmlns:a16="http://schemas.microsoft.com/office/drawing/2014/main" id="{29274D11-67E4-A5A9-B680-C5D15A4A2A1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7800" y="774700"/>
              <a:ext cx="2463800" cy="5588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Hinweis: 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Art, Zustand? gegen Nachbarzone, unbeheizt, Erdreich ? (erweiterbar im Tool inkl. Bild)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203200</xdr:colOff>
          <xdr:row>5</xdr:row>
          <xdr:rowOff>63500</xdr:rowOff>
        </xdr:from>
        <xdr:to>
          <xdr:col>2</xdr:col>
          <xdr:colOff>317500</xdr:colOff>
          <xdr:row>6</xdr:row>
          <xdr:rowOff>127000</xdr:rowOff>
        </xdr:to>
        <xdr:sp macro="" textlink="">
          <xdr:nvSpPr>
            <xdr:cNvPr id="22530" name="Comment 2">
              <a:extLst>
                <a:ext uri="{FF2B5EF4-FFF2-40B4-BE49-F238E27FC236}">
                  <a16:creationId xmlns:a16="http://schemas.microsoft.com/office/drawing/2014/main" id="{C2DD9E81-A873-26E6-B494-C699943903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3100" y="2209800"/>
              <a:ext cx="2362200" cy="393700"/>
            </a:xfrm>
            <a:prstGeom prst="rect">
              <a:avLst/>
            </a:prstGeom>
            <a:solidFill>
              <a:srgbClr val="FFFFE1"/>
            </a:solidFill>
            <a:ln w="9525" algn="ctr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Beispiel:</a:t>
              </a:r>
              <a:r>
                <a:rPr lang="en-GB" sz="900" b="1" i="0" u="none" strike="noStrike" baseline="0%">
                  <a:solidFill>
                    <a:srgbClr val="FF0000"/>
                  </a:solidFill>
                  <a:latin typeface="Segoe UI" pitchFamily="2"/>
                  <a:cs typeface="Segoe UI" pitchFamily="2"/>
                </a:rPr>
                <a:t> LU-1 für "Lüftung"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177800</xdr:colOff>
          <xdr:row>3</xdr:row>
          <xdr:rowOff>368300</xdr:rowOff>
        </xdr:from>
        <xdr:to>
          <xdr:col>14</xdr:col>
          <xdr:colOff>1333500</xdr:colOff>
          <xdr:row>4</xdr:row>
          <xdr:rowOff>342900</xdr:rowOff>
        </xdr:to>
        <xdr:sp macro="" textlink="">
          <xdr:nvSpPr>
            <xdr:cNvPr id="22534" name="Comment 6">
              <a:extLst>
                <a:ext uri="{FF2B5EF4-FFF2-40B4-BE49-F238E27FC236}">
                  <a16:creationId xmlns:a16="http://schemas.microsoft.com/office/drawing/2014/main" id="{84343323-6117-3267-609D-4753813BF78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554200" y="939800"/>
              <a:ext cx="5549900" cy="7620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Segoe UI" pitchFamily="2"/>
                  <a:cs typeface="Segoe UI" pitchFamily="2"/>
                </a:rPr>
                <a:t>Bei EFH und MFH bis 2'000 m² oder bei Verwaltung und Schulen bis 1'000 m² kann eine stark vereinfachte Lüftungsberechnung basierend auf Kleinanlagen mit Standardwerten durchgeführt werden. Für alle übrigen Fälle ist eine externe Berechnung durchzuführen.</a:t>
              </a:r>
            </a:p>
          </xdr:txBody>
        </xdr:sp>
        <xdr:clientData/>
      </xdr:twoCellAnchor>
    </mc:Fallback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file:///C:/Users/mdg/Downloads/GEAK-Export%20Geak-1397%20Proj%201(1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purl.oclc.org/ooxml/officeDocument/relationships/externalLinkPath" Target="file:///C:/GEAK/git/Solutions/EnDK.GEAK/Tests/EnDK.GEAK.IntegrationTests/TestData/ExcelImportExport/GeakPlusImport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Allgemeine Informationen"/>
      <sheetName val="Dach &amp; Decke"/>
      <sheetName val="Wände"/>
      <sheetName val="Fenster &amp; Türen"/>
      <sheetName val="Boden &amp; Keller"/>
      <sheetName val="Wärmebrücken"/>
      <sheetName val="Wärmeerzeuger"/>
      <sheetName val="Versorgter Bereich Heizung"/>
      <sheetName val="Versorgter Bereich Warmwasser"/>
      <sheetName val="Verbrauchsdaten HWW"/>
      <sheetName val="Geräte &amp; Installationen"/>
      <sheetName val="Kleingeräte &amp; Elektronik"/>
      <sheetName val="Betriebseinrichtungen &amp; Geräte"/>
      <sheetName val="Beleuchtung"/>
      <sheetName val="Photovoltaik"/>
      <sheetName val="Weitere Verbraucher"/>
      <sheetName val="Verbrauchsdaten Elektrizität"/>
      <sheetName val="DropDownData"/>
      <sheetName val="WallOpeningPar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AH4" t="str">
            <v>HE-1</v>
          </cell>
        </row>
        <row r="5">
          <cell r="AH5" t="str">
            <v>HE-2</v>
          </cell>
        </row>
        <row r="6">
          <cell r="AH6" t="str">
            <v>HE-3</v>
          </cell>
        </row>
        <row r="7">
          <cell r="AH7" t="str">
            <v>HE-4</v>
          </cell>
        </row>
        <row r="8">
          <cell r="AH8" t="str">
            <v>HE-5</v>
          </cell>
        </row>
        <row r="9">
          <cell r="AH9" t="str">
            <v>HE-6</v>
          </cell>
        </row>
        <row r="10">
          <cell r="AH10" t="str">
            <v>HE-7</v>
          </cell>
        </row>
        <row r="11">
          <cell r="AH11" t="str">
            <v>HE-8</v>
          </cell>
        </row>
        <row r="12">
          <cell r="AH12" t="str">
            <v>HE-9</v>
          </cell>
        </row>
        <row r="13">
          <cell r="AH13" t="str">
            <v>HE-10</v>
          </cell>
        </row>
      </sheetData>
      <sheetData sheetId="18" refreshError="1"/>
    </sheetDataSet>
  </externalBook>
</externalLink>
</file>

<file path=xl/externalLinks/externalLink2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Allgemeine Informationen"/>
      <sheetName val="Dach &amp; Decke"/>
      <sheetName val="Wände"/>
      <sheetName val="Fenster &amp; Türen"/>
      <sheetName val="Boden &amp; Keller"/>
      <sheetName val="Wärmebrücken"/>
      <sheetName val="Wärmeerzeuger"/>
      <sheetName val="Versorgter Bereich Heizung"/>
      <sheetName val="Versorgter Bereich Warmwasser"/>
      <sheetName val="Verbrauchsdaten HWW"/>
      <sheetName val="Geräte &amp; Installationen"/>
      <sheetName val="Kleingeräte &amp; Elektronik"/>
      <sheetName val="Beleuchtung"/>
      <sheetName val="Betriebseinrichtungen &amp; Geräte"/>
      <sheetName val="Photovoltaik"/>
      <sheetName val="Weitere Verbraucher"/>
      <sheetName val="Verbrauchsdaten Elektrizität"/>
      <sheetName val="Lüftung"/>
      <sheetName val="DropDownData"/>
      <sheetName val="WallOpeningPar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</sheetDataSet>
  </externalBook>
</externalLink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purl.oclc.org/ooxml/officeDocument/relationships/comments" Target="../comments4.xml"/><Relationship Id="rId2" Type="http://schemas.openxmlformats.org/officeDocument/2006/relationships/vmlDrawing" Target="../drawings/vmlDrawing4.vml"/><Relationship Id="rId1" Type="http://purl.oclc.org/ooxml/officeDocument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comments" Target="../comments5.xml"/><Relationship Id="rId2" Type="http://schemas.openxmlformats.org/officeDocument/2006/relationships/vmlDrawing" Target="../drawings/vmlDrawing5.vml"/><Relationship Id="rId1" Type="http://purl.oclc.org/ooxml/officeDocument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purl.oclc.org/ooxml/officeDocument/relationships/comments" Target="../comments6.xml"/><Relationship Id="rId2" Type="http://schemas.openxmlformats.org/officeDocument/2006/relationships/vmlDrawing" Target="../drawings/vmlDrawing6.vml"/><Relationship Id="rId1" Type="http://purl.oclc.org/ooxml/officeDocument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purl.oclc.org/ooxml/officeDocument/relationships/comments" Target="../comments7.xml"/><Relationship Id="rId2" Type="http://schemas.openxmlformats.org/officeDocument/2006/relationships/vmlDrawing" Target="../drawings/vmlDrawing7.vml"/><Relationship Id="rId1" Type="http://purl.oclc.org/ooxml/officeDocument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purl.oclc.org/ooxml/officeDocument/relationships/comments" Target="../comments8.xml"/><Relationship Id="rId2" Type="http://schemas.openxmlformats.org/officeDocument/2006/relationships/vmlDrawing" Target="../drawings/vmlDrawing8.vml"/><Relationship Id="rId1" Type="http://purl.oclc.org/ooxml/officeDocument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3" Type="http://purl.oclc.org/ooxml/officeDocument/relationships/comments" Target="../comments9.xml"/><Relationship Id="rId2" Type="http://schemas.openxmlformats.org/officeDocument/2006/relationships/vmlDrawing" Target="../drawings/vmlDrawing9.vml"/><Relationship Id="rId1" Type="http://purl.oclc.org/ooxml/officeDocument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purl.oclc.org/ooxml/officeDocument/relationships/comments" Target="../comments10.xml"/><Relationship Id="rId2" Type="http://schemas.openxmlformats.org/officeDocument/2006/relationships/vmlDrawing" Target="../drawings/vmlDrawing10.vml"/><Relationship Id="rId1" Type="http://purl.oclc.org/ooxml/officeDocument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3" Type="http://purl.oclc.org/ooxml/officeDocument/relationships/comments" Target="../comments11.xml"/><Relationship Id="rId2" Type="http://schemas.openxmlformats.org/officeDocument/2006/relationships/vmlDrawing" Target="../drawings/vmlDrawing11.vml"/><Relationship Id="rId1" Type="http://purl.oclc.org/ooxml/officeDocument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purl.oclc.org/ooxml/officeDocument/relationships/comments" Target="../comments12.xml"/><Relationship Id="rId2" Type="http://schemas.openxmlformats.org/officeDocument/2006/relationships/vmlDrawing" Target="../drawings/vmlDrawing12.vml"/><Relationship Id="rId1" Type="http://purl.oclc.org/ooxml/officeDocument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3" Type="http://purl.oclc.org/ooxml/officeDocument/relationships/comments" Target="../comments13.xml"/><Relationship Id="rId2" Type="http://schemas.openxmlformats.org/officeDocument/2006/relationships/vmlDrawing" Target="../drawings/vmlDrawing13.vml"/><Relationship Id="rId1" Type="http://purl.oclc.org/ooxml/officeDocument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3" Type="http://purl.oclc.org/ooxml/officeDocument/relationships/comments" Target="../comments14.xml"/><Relationship Id="rId2" Type="http://schemas.openxmlformats.org/officeDocument/2006/relationships/vmlDrawing" Target="../drawings/vmlDrawing14.vml"/><Relationship Id="rId1" Type="http://purl.oclc.org/ooxml/officeDocument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3" Type="http://purl.oclc.org/ooxml/officeDocument/relationships/comments" Target="../comments15.xml"/><Relationship Id="rId2" Type="http://schemas.openxmlformats.org/officeDocument/2006/relationships/vmlDrawing" Target="../drawings/vmlDrawing15.vml"/><Relationship Id="rId1" Type="http://purl.oclc.org/ooxml/officeDocument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3" Type="http://purl.oclc.org/ooxml/officeDocument/relationships/comments" Target="../comments16.xml"/><Relationship Id="rId2" Type="http://schemas.openxmlformats.org/officeDocument/2006/relationships/vmlDrawing" Target="../drawings/vmlDrawing16.vml"/><Relationship Id="rId1" Type="http://purl.oclc.org/ooxml/officeDocument/relationships/drawing" Target="../drawings/drawing16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92B3-2F09-B14D-9373-A91D078AE2A5}">
  <sheetPr codeName="Sheet1"/>
  <dimension ref="A1:G44"/>
  <sheetViews>
    <sheetView tabSelected="1" zoomScaleNormal="100" workbookViewId="0">
      <selection sqref="A1:G1"/>
    </sheetView>
  </sheetViews>
  <sheetFormatPr baseColWidth="10" defaultColWidth="9.1640625" defaultRowHeight="15" customHeight="1" x14ac:dyDescent="0.15"/>
  <cols>
    <col min="1" max="1" width="38.83203125" style="11" customWidth="1"/>
    <col min="2" max="2" width="47.5" style="12" customWidth="1"/>
    <col min="3" max="3" width="6.5" style="11" customWidth="1"/>
    <col min="4" max="4" width="30" style="11" customWidth="1"/>
    <col min="5" max="5" width="22.1640625" style="11" customWidth="1"/>
    <col min="6" max="6" width="29.1640625" style="11" customWidth="1"/>
    <col min="7" max="7" width="25.6640625" style="11" customWidth="1"/>
    <col min="8" max="16384" width="9.1640625" style="11"/>
  </cols>
  <sheetData>
    <row r="1" spans="1:7" ht="15" customHeight="1" thickBot="1" x14ac:dyDescent="0.2">
      <c r="A1" s="138" t="s">
        <v>15</v>
      </c>
      <c r="B1" s="139"/>
      <c r="C1" s="139"/>
      <c r="D1" s="139"/>
      <c r="E1" s="139"/>
      <c r="F1" s="139"/>
      <c r="G1" s="139"/>
    </row>
    <row r="2" spans="1:7" ht="15" customHeight="1" thickBot="1" x14ac:dyDescent="0.2">
      <c r="A2" s="107" t="s">
        <v>0</v>
      </c>
      <c r="B2" s="7" t="s">
        <v>301</v>
      </c>
      <c r="D2" s="106" t="s">
        <v>136</v>
      </c>
      <c r="E2" s="56" t="d">
        <v>2025-11-30T09:37:26.73425357323139775</v>
      </c>
    </row>
    <row r="3" spans="1:7" ht="15" customHeight="1" thickBot="1" x14ac:dyDescent="0.2">
      <c r="A3" s="8"/>
      <c r="B3" s="9"/>
      <c r="C3" s="32"/>
    </row>
    <row r="4" spans="1:7" ht="15" customHeight="1" thickBot="1" x14ac:dyDescent="0.2">
      <c r="A4" s="143" t="s">
        <v>1</v>
      </c>
      <c r="B4" s="144"/>
      <c r="D4" s="140" t="s">
        <v>85</v>
      </c>
      <c r="E4" s="141"/>
      <c r="F4" s="141"/>
      <c r="G4" s="142"/>
    </row>
    <row r="5" spans="1:7" ht="15" customHeight="1" x14ac:dyDescent="0.15">
      <c r="A5" s="108" t="s">
        <v>2</v>
      </c>
      <c r="B5" s="14"/>
      <c r="D5" s="109" t="s">
        <v>86</v>
      </c>
      <c r="E5" s="109" t="s">
        <v>137</v>
      </c>
      <c r="F5" s="109" t="s">
        <v>4</v>
      </c>
      <c r="G5" s="109" t="s">
        <v>138</v>
      </c>
    </row>
    <row r="6" spans="1:7" ht="15" customHeight="1" x14ac:dyDescent="0.15">
      <c r="A6" s="17" t="s">
        <v>41</v>
      </c>
      <c r="B6" s="14"/>
    </row>
    <row r="7" spans="1:7" ht="15" customHeight="1" x14ac:dyDescent="0.15">
      <c r="A7" s="17" t="s">
        <v>42</v>
      </c>
      <c r="B7" s="14"/>
    </row>
    <row r="8" spans="1:7" ht="15" customHeight="1" x14ac:dyDescent="0.15">
      <c r="A8" s="17" t="s">
        <v>4</v>
      </c>
      <c r="B8" s="14"/>
    </row>
    <row r="9" spans="1:7" ht="15" customHeight="1" x14ac:dyDescent="0.15">
      <c r="A9" s="17" t="s">
        <v>43</v>
      </c>
      <c r="B9" s="14"/>
    </row>
    <row r="10" spans="1:7" ht="15" customHeight="1" x14ac:dyDescent="0.15">
      <c r="A10" s="17" t="s">
        <v>14</v>
      </c>
      <c r="B10" s="15"/>
    </row>
    <row r="11" spans="1:7" ht="15" customHeight="1" x14ac:dyDescent="0.15">
      <c r="A11" s="17" t="s">
        <v>13</v>
      </c>
      <c r="B11" s="14"/>
    </row>
    <row r="12" spans="1:7" ht="15" customHeight="1" x14ac:dyDescent="0.15">
      <c r="A12" s="17" t="s">
        <v>5</v>
      </c>
      <c r="B12" s="14"/>
    </row>
    <row r="13" spans="1:7" ht="15" customHeight="1" x14ac:dyDescent="0.15">
      <c r="A13" s="17" t="s">
        <v>3</v>
      </c>
      <c r="B13" s="33"/>
    </row>
    <row r="14" spans="1:7" ht="15" customHeight="1" x14ac:dyDescent="0.15">
      <c r="A14" s="17" t="s">
        <v>44</v>
      </c>
      <c r="B14" s="14"/>
    </row>
    <row r="15" spans="1:7" ht="15" customHeight="1" x14ac:dyDescent="0.15">
      <c r="A15" s="17" t="s">
        <v>45</v>
      </c>
      <c r="B15" s="14"/>
    </row>
    <row r="16" spans="1:7" ht="15" customHeight="1" thickBot="1" x14ac:dyDescent="0.2">
      <c r="A16" s="10"/>
      <c r="B16" s="10"/>
    </row>
    <row r="17" spans="1:2" ht="15" customHeight="1" thickBot="1" x14ac:dyDescent="0.2">
      <c r="A17" s="145" t="s">
        <v>6</v>
      </c>
      <c r="B17" s="146"/>
    </row>
    <row r="18" spans="1:2" ht="26.25" customHeight="1" x14ac:dyDescent="0.15">
      <c r="A18" s="108" t="s">
        <v>14</v>
      </c>
      <c r="B18" s="54"/>
    </row>
    <row r="19" spans="1:2" ht="13" x14ac:dyDescent="0.15">
      <c r="A19" s="17" t="s">
        <v>13</v>
      </c>
      <c r="B19" s="14"/>
    </row>
    <row r="20" spans="1:2" ht="15" customHeight="1" x14ac:dyDescent="0.15">
      <c r="A20" s="17" t="s">
        <v>46</v>
      </c>
      <c r="B20" s="14"/>
    </row>
    <row r="21" spans="1:2" ht="15" customHeight="1" x14ac:dyDescent="0.15">
      <c r="A21" s="17" t="s">
        <v>47</v>
      </c>
      <c r="B21" s="14"/>
    </row>
    <row r="22" spans="1:2" ht="13" x14ac:dyDescent="0.15">
      <c r="A22" s="17" t="s">
        <v>48</v>
      </c>
      <c r="B22" s="14"/>
    </row>
    <row r="23" spans="1:2" ht="18.75" customHeight="1" x14ac:dyDescent="0.15">
      <c r="A23" s="17" t="s">
        <v>49</v>
      </c>
      <c r="B23" s="14"/>
    </row>
    <row r="24" spans="1:2" ht="15" customHeight="1" x14ac:dyDescent="0.15">
      <c r="A24" s="17" t="s">
        <v>7</v>
      </c>
      <c r="B24" s="15">
        <v>1950</v>
      </c>
    </row>
    <row r="25" spans="1:2" ht="15" customHeight="1" x14ac:dyDescent="0.15">
      <c r="A25" s="17" t="s">
        <v>187</v>
      </c>
      <c r="B25" s="15"/>
    </row>
    <row r="26" spans="1:2" ht="15" customHeight="1" x14ac:dyDescent="0.15">
      <c r="A26" s="17" t="s">
        <v>50</v>
      </c>
      <c r="B26" s="14"/>
    </row>
    <row r="27" spans="1:2" ht="15" customHeight="1" x14ac:dyDescent="0.15">
      <c r="A27" s="17" t="s">
        <v>66</v>
      </c>
      <c r="B27" s="14"/>
    </row>
    <row r="28" spans="1:2" ht="15" customHeight="1" x14ac:dyDescent="0.15">
      <c r="A28" s="17" t="s">
        <v>144</v>
      </c>
      <c r="B28" s="16"/>
    </row>
    <row r="29" spans="1:2" ht="15" customHeight="1" x14ac:dyDescent="0.15">
      <c r="A29" s="17" t="s">
        <v>145</v>
      </c>
      <c r="B29" s="14"/>
    </row>
    <row r="30" spans="1:2" ht="15" customHeight="1" x14ac:dyDescent="0.15">
      <c r="A30" s="17" t="s">
        <v>8</v>
      </c>
      <c r="B30" s="16">
        <v>0</v>
      </c>
    </row>
    <row r="31" spans="1:2" ht="15" customHeight="1" x14ac:dyDescent="0.15">
      <c r="A31" s="17" t="s">
        <v>9</v>
      </c>
      <c r="B31" s="16">
        <v>2.4</v>
      </c>
    </row>
    <row r="32" spans="1:2" ht="15" customHeight="1" x14ac:dyDescent="0.15">
      <c r="A32" s="17" t="s">
        <v>10</v>
      </c>
      <c r="B32" s="15"/>
    </row>
    <row r="33" spans="1:2" ht="15" customHeight="1" x14ac:dyDescent="0.15">
      <c r="A33" s="17" t="s">
        <v>11</v>
      </c>
      <c r="B33" s="16">
        <v>11</v>
      </c>
    </row>
    <row r="34" spans="1:2" ht="15" customHeight="1" x14ac:dyDescent="0.15">
      <c r="A34" s="17" t="s">
        <v>51</v>
      </c>
      <c r="B34" s="16"/>
    </row>
    <row r="35" spans="1:2" ht="15" customHeight="1" x14ac:dyDescent="0.15">
      <c r="A35" s="17" t="s">
        <v>65</v>
      </c>
      <c r="B35" s="16"/>
    </row>
    <row r="36" spans="1:2" ht="15" customHeight="1" thickBot="1" x14ac:dyDescent="0.2"/>
    <row r="37" spans="1:2" ht="15" customHeight="1" thickBot="1" x14ac:dyDescent="0.2">
      <c r="A37" s="134" t="s">
        <v>23</v>
      </c>
      <c r="B37" s="135"/>
    </row>
    <row r="38" spans="1:2" ht="60" customHeight="1" thickBot="1" x14ac:dyDescent="0.2">
      <c r="A38" s="110" t="s">
        <v>302</v>
      </c>
      <c r="B38" s="18"/>
    </row>
    <row r="39" spans="1:2" ht="15" customHeight="1" thickBot="1" x14ac:dyDescent="0.2">
      <c r="A39" s="13"/>
    </row>
    <row r="40" spans="1:2" ht="15" customHeight="1" thickBot="1" x14ac:dyDescent="0.2">
      <c r="A40" s="134" t="s">
        <v>26</v>
      </c>
      <c r="B40" s="135"/>
    </row>
    <row r="41" spans="1:2" ht="60" customHeight="1" thickBot="1" x14ac:dyDescent="0.2">
      <c r="A41" s="110" t="s">
        <v>25</v>
      </c>
      <c r="B41" s="19"/>
    </row>
    <row r="43" spans="1:2" ht="15" customHeight="1" thickBot="1" x14ac:dyDescent="0.2">
      <c r="A43" s="136" t="s">
        <v>84</v>
      </c>
      <c r="B43" s="137"/>
    </row>
    <row r="44" spans="1:2" ht="60" customHeight="1" x14ac:dyDescent="0.15">
      <c r="A44" s="111" t="s">
        <v>24</v>
      </c>
      <c r="B44" s="55"/>
    </row>
  </sheetData>
  <mergeCells count="7">
    <mergeCell ref="A37:B37"/>
    <mergeCell ref="A40:B40"/>
    <mergeCell ref="A43:B43"/>
    <mergeCell ref="A1:G1"/>
    <mergeCell ref="D4:G4"/>
    <mergeCell ref="A4:B4"/>
    <mergeCell ref="A17:B17"/>
  </mergeCells>
  <conditionalFormatting sqref="E2">
    <cfRule type="containsBlanks" dxfId="66" priority="1">
      <formula>LEN(TRIM(E2))=0</formula>
    </cfRule>
  </conditionalFormatting>
  <dataValidations count="25">
    <dataValidation type="list" showErrorMessage="1" sqref="B5" xr:uid="{127AD0E9-B1A3-7E4B-A603-461C9D0058CE}">
      <formula1>Title</formula1>
    </dataValidation>
    <dataValidation type="list" showErrorMessage="1" sqref="B34" xr:uid="{72069F55-32C4-A244-88FD-F016E3FB2DD0}">
      <formula1>ConstructionType</formula1>
    </dataValidation>
    <dataValidation type="list" showErrorMessage="1" sqref="B35" xr:uid="{B595E44D-1942-C940-8AD1-E4C2EE8EBBA7}">
      <formula1>GroundPlanType</formula1>
    </dataValidation>
    <dataValidation type="list" showErrorMessage="1" sqref="B27" xr:uid="{26186CA6-4628-884E-AA10-1D554A373B72}">
      <formula1>WeatherStations</formula1>
    </dataValidation>
    <dataValidation type="list" showErrorMessage="1" sqref="B28" xr:uid="{443DF2FD-619F-5B44-8F29-09FF15CFC37E}">
      <formula1>BestKnownWeatherStations</formula1>
    </dataValidation>
    <dataValidation type="textLength" operator="lessThanOrEqual" allowBlank="1" showInputMessage="1" showErrorMessage="1" prompt="Max. 50 Zeichen." sqref="B2" xr:uid="{EA16CAA1-BDFE-474B-81A7-7E2172581FAA}">
      <formula1>50</formula1>
    </dataValidation>
    <dataValidation type="textLength" operator="lessThanOrEqual" allowBlank="1" showInputMessage="1" showErrorMessage="1" prompt="Max. 50 Zeichen." sqref="B6" xr:uid="{B2E37498-3E3B-344F-BF6D-054CA267E610}">
      <formula1>50</formula1>
    </dataValidation>
    <dataValidation type="textLength" operator="lessThanOrEqual" allowBlank="1" showInputMessage="1" showErrorMessage="1" prompt="Max. 50 Zeichen." sqref="B7" xr:uid="{FE580592-2FEF-E447-AA1A-9200620448F4}">
      <formula1>50</formula1>
    </dataValidation>
    <dataValidation type="textLength" operator="lessThanOrEqual" allowBlank="1" showInputMessage="1" showErrorMessage="1" prompt="Max. 250 Zeichen." sqref="B8" xr:uid="{C11D0D66-C047-9C4B-BE74-9C239D184E2B}">
      <formula1>250</formula1>
    </dataValidation>
    <dataValidation type="textLength" operator="lessThanOrEqual" allowBlank="1" showInputMessage="1" showErrorMessage="1" prompt="Max. 250 Zeichen." sqref="B9" xr:uid="{E76FBAF1-4381-7F41-A064-1C1C373E4FA3}">
      <formula1>250</formula1>
    </dataValidation>
    <dataValidation type="textLength" operator="lessThanOrEqual" allowBlank="1" showInputMessage="1" showErrorMessage="1" prompt="Max. 20 Zeichen." sqref="B10" xr:uid="{FA1DDDF3-064F-D140-807D-85FBD7AC34EF}">
      <formula1>20</formula1>
    </dataValidation>
    <dataValidation type="textLength" operator="lessThanOrEqual" allowBlank="1" showInputMessage="1" showErrorMessage="1" prompt="Max. 50 Zeichen." sqref="B11" xr:uid="{8395E2FE-E6AC-4F4A-B7A8-29A1CD61E633}">
      <formula1>50</formula1>
    </dataValidation>
    <dataValidation type="textLength" operator="lessThanOrEqual" allowBlank="1" showInputMessage="1" showErrorMessage="1" prompt="Max. 50 Zeichen." sqref="B12" xr:uid="{0C62ECCB-CB19-394D-8E2B-6A102100F244}">
      <formula1>50</formula1>
    </dataValidation>
    <dataValidation type="textLength" operator="lessThanOrEqual" allowBlank="1" showInputMessage="1" showErrorMessage="1" prompt="Max. 250 Zeichen." sqref="B13" xr:uid="{25C313B0-1F6A-7347-9AFD-1CAE189A6B81}">
      <formula1>250</formula1>
    </dataValidation>
    <dataValidation type="textLength" operator="lessThanOrEqual" allowBlank="1" showInputMessage="1" showErrorMessage="1" prompt="Max. 100 Zeichen." sqref="B14" xr:uid="{EF921841-8A4A-2A4D-8D0B-EF74586F110C}">
      <formula1>100</formula1>
    </dataValidation>
    <dataValidation type="textLength" operator="lessThanOrEqual" allowBlank="1" showInputMessage="1" showErrorMessage="1" prompt="Max. 100 Zeichen." sqref="B15" xr:uid="{E67A39FF-B309-B04A-899C-2956F5F0EEA1}">
      <formula1>100</formula1>
    </dataValidation>
    <dataValidation type="textLength" operator="lessThanOrEqual" allowBlank="1" showInputMessage="1" showErrorMessage="1" prompt="Max. 250 Zeichen." sqref="B19" xr:uid="{034266D4-ADEB-B249-B3B7-233333B8DA89}">
      <formula1>250</formula1>
    </dataValidation>
    <dataValidation type="textLength" operator="lessThanOrEqual" allowBlank="1" showInputMessage="1" showErrorMessage="1" prompt="Max. 250 Zeichen." sqref="B20" xr:uid="{1AC24FD4-4472-C940-84CC-5B77B5EC6DC6}">
      <formula1>250</formula1>
    </dataValidation>
    <dataValidation type="textLength" operator="lessThanOrEqual" allowBlank="1" showInputMessage="1" showErrorMessage="1" prompt="Max. 250 Zeichen." sqref="B21" xr:uid="{BCCFA54E-BA09-2648-8574-98D22F7523D4}">
      <formula1>250</formula1>
    </dataValidation>
    <dataValidation type="textLength" operator="lessThanOrEqual" allowBlank="1" showInputMessage="1" showErrorMessage="1" prompt="Max. 250 Zeichen." sqref="B22" xr:uid="{EA51291B-A523-544B-B1DF-D811B4F738E4}">
      <formula1>250</formula1>
    </dataValidation>
    <dataValidation type="textLength" operator="lessThanOrEqual" allowBlank="1" showInputMessage="1" showErrorMessage="1" prompt="Max. 250 Zeichen." sqref="B23" xr:uid="{6583FD16-868C-5142-9974-2781AEBE380B}">
      <formula1>250</formula1>
    </dataValidation>
    <dataValidation type="textLength" operator="lessThanOrEqual" allowBlank="1" showInputMessage="1" showErrorMessage="1" prompt="Max. 250 Zeichen." sqref="B26" xr:uid="{5DAAE68F-AE36-1B4B-8E30-1BBF08366B4E}">
      <formula1>250</formula1>
    </dataValidation>
    <dataValidation type="textLength" operator="lessThanOrEqual" allowBlank="1" showInputMessage="1" showErrorMessage="1" prompt="Max. 600 Zeichen." sqref="B38" xr:uid="{EA52131D-ED0E-E54D-BC07-E9C5C5B1F6E8}">
      <formula1>600</formula1>
    </dataValidation>
    <dataValidation type="textLength" operator="lessThanOrEqual" allowBlank="1" showInputMessage="1" showErrorMessage="1" prompt="Max. 1000 Zeichen." sqref="B41" xr:uid="{803AC5F5-CC21-B44A-A8D1-31269EE6B3F0}">
      <formula1>1000</formula1>
    </dataValidation>
    <dataValidation type="textLength" operator="lessThanOrEqual" allowBlank="1" showInputMessage="1" showErrorMessage="1" prompt="Max. 1000 Zeichen." sqref="B44" xr:uid="{659ED0DC-9650-C642-801A-60AB07B37F14}">
      <formula1>1000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A974-92A4-554F-B172-308B4ECD5B13}">
  <dimension ref="A1:J66"/>
  <sheetViews>
    <sheetView zoomScaleNormal="100" workbookViewId="0"/>
  </sheetViews>
  <sheetFormatPr baseColWidth="10" defaultRowHeight="15" x14ac:dyDescent="0.2"/>
  <cols>
    <col min="1" max="6" width="37.1640625" customWidth="1"/>
    <col min="7" max="256" width="8.83203125" customWidth="1"/>
  </cols>
  <sheetData>
    <row r="1" spans="1:10" ht="16" thickBot="1" x14ac:dyDescent="0.25">
      <c r="A1" s="153" t="s">
        <v>168</v>
      </c>
      <c r="B1" s="154"/>
      <c r="C1" s="154"/>
      <c r="D1" s="154"/>
      <c r="E1" s="154"/>
      <c r="F1" s="154"/>
      <c r="G1" s="154"/>
      <c r="H1" s="154"/>
      <c r="I1" s="154"/>
      <c r="J1" s="154"/>
    </row>
    <row r="3" spans="1:10" ht="16" thickBot="1" x14ac:dyDescent="0.25">
      <c r="B3" s="65"/>
      <c r="C3" s="65"/>
      <c r="D3" s="65"/>
    </row>
    <row r="4" spans="1:10" ht="15.75" customHeight="1" thickBot="1" x14ac:dyDescent="0.25">
      <c r="A4" s="63"/>
      <c r="B4" s="116" t="s">
        <v>158</v>
      </c>
      <c r="C4" s="116" t="s">
        <v>159</v>
      </c>
      <c r="D4" s="116" t="s">
        <v>160</v>
      </c>
    </row>
    <row r="5" spans="1:10" ht="16" thickBot="1" x14ac:dyDescent="0.25">
      <c r="A5" s="112" t="s">
        <v>161</v>
      </c>
      <c r="B5" s="78"/>
      <c r="C5" s="78"/>
      <c r="D5" s="78"/>
    </row>
    <row r="6" spans="1:10" s="66" customFormat="1" x14ac:dyDescent="0.2">
      <c r="A6" s="113" t="s">
        <v>169</v>
      </c>
      <c r="B6" s="74"/>
      <c r="C6" s="74"/>
      <c r="D6" s="74"/>
      <c r="E6" s="114" t="s">
        <v>166</v>
      </c>
    </row>
    <row r="7" spans="1:10" x14ac:dyDescent="0.2">
      <c r="A7" s="113" t="s">
        <v>162</v>
      </c>
      <c r="B7" s="74"/>
      <c r="C7" s="74"/>
      <c r="D7" s="74"/>
      <c r="E7" s="67">
        <f>SUM(B7:D7)</f>
        <v>0</v>
      </c>
    </row>
    <row r="8" spans="1:10" ht="16" thickBot="1" x14ac:dyDescent="0.25">
      <c r="A8" s="113" t="s">
        <v>163</v>
      </c>
      <c r="B8" s="79" t="str">
        <f>IF(ISBLANK(B7),"",B7/$E$7)</f>
        <v/>
      </c>
      <c r="C8" s="79" t="str">
        <f>IF(ISBLANK(C7),"",C7/$E$7)</f>
        <v/>
      </c>
      <c r="D8" s="79" t="str">
        <f>IF(ISBLANK(D7),"",D7/$E$7)</f>
        <v/>
      </c>
      <c r="E8" s="68" t="str">
        <f>IF(OR(ISBLANK(E7),E7=0),"",E7/$E$7)</f>
        <v/>
      </c>
    </row>
    <row r="9" spans="1:10" s="66" customFormat="1" ht="16" thickBot="1" x14ac:dyDescent="0.25">
      <c r="A9" s="115" t="s">
        <v>7</v>
      </c>
      <c r="B9" s="76"/>
      <c r="C9" s="76"/>
      <c r="D9" s="75"/>
      <c r="E9" s="77"/>
    </row>
    <row r="10" spans="1:10" ht="16" thickBot="1" x14ac:dyDescent="0.25">
      <c r="A10" s="64"/>
      <c r="B10" s="64"/>
      <c r="C10" s="64"/>
      <c r="D10" s="64"/>
    </row>
    <row r="11" spans="1:10" ht="16" thickBot="1" x14ac:dyDescent="0.25">
      <c r="A11" s="150" t="s">
        <v>164</v>
      </c>
      <c r="B11" s="151"/>
      <c r="C11" s="151"/>
      <c r="D11" s="152"/>
    </row>
    <row r="12" spans="1:10" x14ac:dyDescent="0.2">
      <c r="A12" s="112" t="s">
        <v>139</v>
      </c>
      <c r="B12" s="72"/>
      <c r="C12" s="73"/>
      <c r="D12" s="73"/>
    </row>
    <row r="13" spans="1:10" x14ac:dyDescent="0.2">
      <c r="A13" s="113" t="s">
        <v>141</v>
      </c>
      <c r="B13" s="67"/>
      <c r="C13" s="74"/>
      <c r="D13" s="74"/>
    </row>
    <row r="14" spans="1:10" x14ac:dyDescent="0.2">
      <c r="A14" s="113" t="s">
        <v>142</v>
      </c>
      <c r="B14" s="67"/>
      <c r="C14" s="74"/>
      <c r="D14" s="74"/>
    </row>
    <row r="15" spans="1:10" x14ac:dyDescent="0.2">
      <c r="A15" s="113" t="s">
        <v>143</v>
      </c>
      <c r="B15" s="67"/>
      <c r="C15" s="74"/>
      <c r="D15" s="74"/>
    </row>
    <row r="16" spans="1:10" x14ac:dyDescent="0.2">
      <c r="A16" s="113" t="s">
        <v>182</v>
      </c>
      <c r="B16" s="67"/>
      <c r="C16" s="74"/>
      <c r="D16" s="74"/>
    </row>
    <row r="17" spans="1:6" x14ac:dyDescent="0.2">
      <c r="A17" s="113" t="s">
        <v>140</v>
      </c>
      <c r="B17" s="67"/>
      <c r="C17" s="74"/>
      <c r="D17" s="74"/>
    </row>
    <row r="18" spans="1:6" x14ac:dyDescent="0.2">
      <c r="A18" s="113" t="s">
        <v>165</v>
      </c>
      <c r="B18" s="67"/>
      <c r="C18" s="74"/>
      <c r="D18" s="74"/>
    </row>
    <row r="19" spans="1:6" ht="16" thickBot="1" x14ac:dyDescent="0.25">
      <c r="A19" s="115" t="s">
        <v>183</v>
      </c>
      <c r="B19" s="75"/>
      <c r="C19" s="76"/>
      <c r="D19" s="76"/>
    </row>
    <row r="20" spans="1:6" ht="16" thickBot="1" x14ac:dyDescent="0.25">
      <c r="A20" s="65"/>
      <c r="B20" s="65"/>
      <c r="C20" s="65"/>
      <c r="D20" s="65"/>
      <c r="E20" s="65"/>
      <c r="F20" s="65"/>
    </row>
    <row r="21" spans="1:6" x14ac:dyDescent="0.2">
      <c r="A21" s="147" t="s">
        <v>158</v>
      </c>
      <c r="B21" s="148"/>
      <c r="C21" s="149" t="s">
        <v>159</v>
      </c>
      <c r="D21" s="148"/>
      <c r="E21" s="149" t="s">
        <v>160</v>
      </c>
      <c r="F21" s="148"/>
    </row>
    <row r="22" spans="1:6" s="60" customFormat="1" ht="24" customHeight="1" x14ac:dyDescent="0.2">
      <c r="A22" s="69" t="str">
        <f>IF(B5="Restaurant","Anzahl Sitze",IF(B5="Hotel","Belegung «Ganzes Jahr»? (1=Ja, 0=Nein)",IF(B5="Schule","Anzahl Schüler",IF(B5="Büro/Verwaltung","Anzahl Personal",IF(B5="Einfamilienhaus","Anzahl Personen",IF(B5="Mehrfamilienhaus","Anzahl Personen",""))))))</f>
        <v/>
      </c>
      <c r="B22" s="70"/>
      <c r="C22" s="117" t="str">
        <f>IF(C5="Restaurant","Anzahl Sitze",IF(C5="Hotel","Belegung «Ganzes Jahr»? (1=Ja, 0=Nein)",IF(C5="Schule","Anzahl Schüler",IF(C5="Büro/Verwaltung","Anzahl Personal",IF(C5="Einfamilienhaus","Anzahl Personen",IF(C5="Mehrfamilienhaus","Anzahl Personen",""))))))</f>
        <v/>
      </c>
      <c r="D22" s="70"/>
      <c r="E22" s="117" t="str">
        <f>IF(D5="Restaurant","Anzahl Sitze",IF(D5="Hotel","Belegung «Ganzes Jahr»? (1=Ja, 0=Nein)",IF(D5="Schule","Anzahl Schüler",IF(D5="Büro/Verwaltung","Anzahl Personal",IF(D5="Einfamilienhaus","Anzahl Personen",IF(D5="Mehrfamilienhaus","Anzahl Personen",""))))))</f>
        <v/>
      </c>
      <c r="F22" s="70"/>
    </row>
    <row r="23" spans="1:6" s="60" customFormat="1" ht="24" customHeight="1" x14ac:dyDescent="0.2">
      <c r="A23" s="69" t="str">
        <f>IF(B5="Hotel","Anzahl Übernachtungen",IF(B5="Schule","Anzahl Klassenzimmer",IF(B5="Büro/Verwaltung","Anzahl Arbeitsplätze",IF(B5="Einfamilienhaus","Anzahl 1-Zimmer-Wohnungen",IF(B5="Mehrfamilienhaus","Anzahl 1-Zimmer-Wohnungen","")))))</f>
        <v/>
      </c>
      <c r="B23" s="70"/>
      <c r="C23" s="117" t="str">
        <f>IF(C5="Hotel","Anzahl Übernachtungen",IF(C5="Schule","Anzahl Klassenzimmer",IF(C5="Büro/Verwaltung","Anzahl Arbeitsplätze",IF(C5="Einfamilienhaus","Anzahl 1-Zimmer-Wohnungen",IF(C5="Mehrfamilienhaus","Anzahl 1-Zimmer-Wohnungen","")))))</f>
        <v/>
      </c>
      <c r="D23" s="70"/>
      <c r="E23" s="117" t="str">
        <f>IF(D5="Hotel","Anzahl Übernachtungen",IF(D5="Schule","Anzahl Klassenzimmer",IF(D5="Büro/Verwaltung","Anzahl Arbeitsplätze",IF(D5="Einfamilienhaus","Anzahl 1-Zimmer-Wohnungen",IF(D5="Mehrfamilienhaus","Anzahl 1-Zimmer-Wohnungen","")))))</f>
        <v/>
      </c>
      <c r="F23" s="70"/>
    </row>
    <row r="24" spans="1:6" s="60" customFormat="1" ht="24" customHeight="1" x14ac:dyDescent="0.2">
      <c r="A24" s="69" t="str">
        <f>IF(B5="Hotel","Anzahl Zimmer",IF(B5="Schule","Turnhalle",IF(B5="Büro/Verwaltung","Mittlere Benutzungszeit der Arbeitsplätze (wegen Teilzeitarbeit oder Aussendienst), in %",IF(B5="Einfamilienhaus","Anzahl 2-Zimmer-Wohnungen",IF(B5="Mehrfamilienhaus","Anzahl 2-Zimmer-Wohnungen","")))))</f>
        <v/>
      </c>
      <c r="B24" s="70"/>
      <c r="C24" s="117" t="str">
        <f>IF(C5="Hotel","Anzahl Zimmer",IF(C5="Schule","Turnhalle",IF(C5="Büro/Verwaltung","Mittlere Benutzungszeit der Arbeitsplätze (wegen Teilzeitarbeit oder Aussendienst), in %",IF(C5="Einfamilienhaus","Anzahl 2-Zimmer-Wohnungen",IF(C5="Mehrfamilienhaus","Anzahl 2-Zimmer-Wohnungen","")))))</f>
        <v/>
      </c>
      <c r="D24" s="70"/>
      <c r="E24" s="117" t="str">
        <f>IF(D5="Hotel","Anzahl Zimmer",IF(D5="Schule","Turnhalle",IF(D5="Büro/Verwaltung","Mittlere Benutzungszeit der Arbeitsplätze (wegen Teilzeitarbeit oder Aussendienst), in %",IF(D5="Einfamilienhaus","Anzahl 2-Zimmer-Wohnungen",IF(D5="Mehrfamilienhaus","Anzahl 2-Zimmer-Wohnungen","")))))</f>
        <v/>
      </c>
      <c r="F24" s="70"/>
    </row>
    <row r="25" spans="1:6" s="60" customFormat="1" ht="24" customHeight="1" x14ac:dyDescent="0.2">
      <c r="A25" s="69" t="str">
        <f>IF(B5="Hotel","Anzahl Betten",IF(B5="Einfamilienhaus","Anzahl 3-Zimmer-Wohnungen",IF(B5="Mehrfamilienhaus","Anzahl 3-Zimmer-Wohnungen","")))</f>
        <v/>
      </c>
      <c r="B25" s="70"/>
      <c r="C25" s="117" t="str">
        <f>IF(C5="Hotel","Anzahl Betten",IF(C5="Einfamilienhaus","Anzahl 3-Zimmer-Wohnungen",IF(C5="Mehrfamilienhaus","Anzahl 3-Zimmer-Wohnungen","")))</f>
        <v/>
      </c>
      <c r="D25" s="70"/>
      <c r="E25" s="117" t="str">
        <f>IF(D5="Hotel","Anzahl Betten",IF(D5="Einfamilienhaus","Anzahl 3-Zimmer-Wohnungen",IF(D5="Mehrfamilienhaus","Anzahl 3-Zimmer-Wohnungen","")))</f>
        <v/>
      </c>
      <c r="F25" s="70"/>
    </row>
    <row r="26" spans="1:6" s="60" customFormat="1" ht="24" customHeight="1" x14ac:dyDescent="0.2">
      <c r="A26" s="69" t="str">
        <f>IF(B5="Hotel","Wellnessbereich vorhanden? (1=Ja, 0=Nein)",IF(B5="Einfamilienhaus","Anzahl 4-Zimmer-Wohnungen",IF(B5="Mehrfamilienhaus","Anzahl 4-Zimmer-Wohnungen","")))</f>
        <v/>
      </c>
      <c r="B26" s="70"/>
      <c r="C26" s="117" t="str">
        <f>IF(C5="Hotel","Wellnessbereich vorhanden? (1=Ja, 0=Nein)",IF(C5="Einfamilienhaus","Anzahl 4-Zimmer-Wohnungen",IF(C5="Mehrfamilienhaus","Anzahl 4-Zimmer-Wohnungen","")))</f>
        <v/>
      </c>
      <c r="D26" s="70"/>
      <c r="E26" s="117" t="str">
        <f>IF(D5="Hotel","Wellnessbereich vorhanden? (1=Ja, 0=Nein)",IF(D5="Einfamilienhaus","Anzahl 4-Zimmer-Wohnungen",IF(D5="Mehrfamilienhaus","Anzahl 4-Zimmer-Wohnungen","")))</f>
        <v/>
      </c>
      <c r="F26" s="70"/>
    </row>
    <row r="27" spans="1:6" s="60" customFormat="1" ht="24" customHeight="1" x14ac:dyDescent="0.2">
      <c r="A27" s="69" t="str">
        <f>IF(B5="Hotel","Schwimmhalle vorhanden? (1=Ja, 0=Nein)",IF(B5="Einfamilienhaus","Anzahl 5-Zimmer-Wohnungen",IF(B5="Mehrfamilienhaus","Anzahl 5-Zimmer-Wohnungen","")))</f>
        <v/>
      </c>
      <c r="B27" s="70"/>
      <c r="C27" s="117" t="str">
        <f>IF(C5="Hotel","Schwimmhalle vorhanden? (1=Ja, 0=Nein)",IF(C5="Einfamilienhaus","Anzahl 5-Zimmer-Wohnungen",IF(C5="Mehrfamilienhaus","Anzahl 5-Zimmer-Wohnungen","")))</f>
        <v/>
      </c>
      <c r="D27" s="70"/>
      <c r="E27" s="117" t="str">
        <f>IF(D5="Hotel","Schwimmhalle vorhanden? (1=Ja, 0=Nein)",IF(D5="Einfamilienhaus","Anzahl 5-Zimmer-Wohnungen",IF(D5="Mehrfamilienhaus","Anzahl 5-Zimmer-Wohnungen","")))</f>
        <v/>
      </c>
      <c r="F27" s="70"/>
    </row>
    <row r="28" spans="1:6" s="60" customFormat="1" ht="24" customHeight="1" x14ac:dyDescent="0.2">
      <c r="A28" s="69" t="str">
        <f>IF(B5="Hotel","Fitnessraum vorhanden? (1=Ja, 0=Nein)",IF(B5="Einfamilienhaus","Anzahl 6-Zimmer-Wohnungen",IF(B5="Mehrfamilienhaus","Anzahl 6-Zimmer-Wohnungen","")))</f>
        <v/>
      </c>
      <c r="B28" s="70"/>
      <c r="C28" s="117" t="str">
        <f>IF(C5="Hotel","Fitnessraum vorhanden? (1=Ja, 0=Nein)",IF(C5="Einfamilienhaus","Anzahl 6-Zimmer-Wohnungen",IF(C5="Mehrfamilienhaus","Anzahl 6-Zimmer-Wohnungen","")))</f>
        <v/>
      </c>
      <c r="D28" s="70"/>
      <c r="E28" s="117" t="str">
        <f>IF(D5="Hotel","Fitnessraum vorhanden? (1=Ja, 0=Nein)",IF(D5="Einfamilienhaus","Anzahl 6-Zimmer-Wohnungen",IF(D5="Mehrfamilienhaus","Anzahl 6-Zimmer-Wohnungen","")))</f>
        <v/>
      </c>
      <c r="F28" s="70"/>
    </row>
    <row r="29" spans="1:6" s="60" customFormat="1" ht="24" customHeight="1" x14ac:dyDescent="0.2">
      <c r="A29" s="69" t="str">
        <f>IF(B5="Hotel","Wäscherei vorhanden? (1=Ja, 0=Nein)",IF(B5="Einfamilienhaus","Anzahl Wohnungen mit über 6 Zimmer",IF(B5="Mehrfamilienhaus","Anzahl Wohnungen mit über 6 Zimmer","")))</f>
        <v/>
      </c>
      <c r="B29" s="70"/>
      <c r="C29" s="117" t="str">
        <f>IF(C5="Hotel","Wäscherei vorhanden? (1=Ja, 0=Nein)",IF(C5="Einfamilienhaus","Anzahl Wohnungen mit über 6 Zimmer",IF(C5="Mehrfamilienhaus","Anzahl Wohnungen mit über 6 Zimmer","")))</f>
        <v/>
      </c>
      <c r="D29" s="70"/>
      <c r="E29" s="117" t="str">
        <f>IF(D5="Hotel","Wäscherei vorhanden? (1=Ja, 0=Nein)",IF(D5="Einfamilienhaus","Anzahl Wohnungen mit über 6 Zimmer",IF(D5="Mehrfamilienhaus","Anzahl Wohnungen mit über 6 Zimmer","")))</f>
        <v/>
      </c>
      <c r="F29" s="70"/>
    </row>
    <row r="30" spans="1:6" s="60" customFormat="1" ht="24" customHeight="1" x14ac:dyDescent="0.2">
      <c r="A30" s="71"/>
      <c r="B30" s="71"/>
      <c r="C30" s="71"/>
      <c r="D30" s="71"/>
      <c r="E30" s="71"/>
      <c r="F30" s="71"/>
    </row>
    <row r="31" spans="1:6" s="60" customFormat="1" ht="24" customHeight="1" x14ac:dyDescent="0.2">
      <c r="A31" s="71"/>
      <c r="B31" s="71"/>
      <c r="C31" s="71"/>
      <c r="D31" s="71"/>
      <c r="E31" s="71"/>
      <c r="F31" s="71"/>
    </row>
    <row r="32" spans="1:6" s="60" customFormat="1" ht="24" customHeight="1" x14ac:dyDescent="0.2">
      <c r="A32" s="71"/>
      <c r="B32" s="71"/>
      <c r="C32" s="71"/>
      <c r="D32" s="71"/>
      <c r="E32" s="71"/>
      <c r="F32" s="71"/>
    </row>
    <row r="33" spans="1:6" s="60" customFormat="1" ht="24" customHeight="1" x14ac:dyDescent="0.2">
      <c r="A33" s="71"/>
      <c r="B33" s="71"/>
      <c r="C33" s="71"/>
      <c r="D33" s="71"/>
      <c r="E33" s="71"/>
      <c r="F33" s="71"/>
    </row>
    <row r="34" spans="1:6" s="60" customFormat="1" ht="24" customHeight="1" x14ac:dyDescent="0.2">
      <c r="A34" s="71"/>
      <c r="B34" s="71"/>
      <c r="C34" s="71"/>
      <c r="D34" s="71"/>
      <c r="E34" s="71"/>
      <c r="F34" s="71"/>
    </row>
    <row r="35" spans="1:6" s="60" customFormat="1" ht="24" customHeight="1" x14ac:dyDescent="0.2">
      <c r="A35" s="71"/>
      <c r="B35" s="71"/>
      <c r="C35" s="71"/>
      <c r="D35" s="71"/>
      <c r="E35" s="71"/>
      <c r="F35" s="71"/>
    </row>
    <row r="36" spans="1:6" s="60" customFormat="1" ht="24" customHeight="1" x14ac:dyDescent="0.2">
      <c r="A36" s="61"/>
      <c r="B36" s="61"/>
      <c r="C36" s="61"/>
      <c r="D36" s="61"/>
      <c r="E36" s="61"/>
      <c r="F36" s="61"/>
    </row>
    <row r="37" spans="1:6" s="60" customFormat="1" ht="24" customHeight="1" x14ac:dyDescent="0.2">
      <c r="A37" s="61"/>
      <c r="B37" s="61"/>
      <c r="C37" s="61"/>
      <c r="D37" s="62"/>
      <c r="E37" s="61"/>
      <c r="F37" s="62"/>
    </row>
    <row r="38" spans="1:6" s="60" customFormat="1" ht="24" customHeight="1" x14ac:dyDescent="0.2">
      <c r="A38" s="61"/>
      <c r="B38" s="61"/>
      <c r="C38" s="61"/>
      <c r="D38" s="62"/>
      <c r="E38" s="61"/>
      <c r="F38" s="62"/>
    </row>
    <row r="39" spans="1:6" s="60" customFormat="1" ht="24" customHeight="1" x14ac:dyDescent="0.2">
      <c r="A39" s="61"/>
      <c r="B39" s="61"/>
      <c r="C39" s="61"/>
      <c r="D39" s="62"/>
      <c r="E39" s="61"/>
      <c r="F39" s="62"/>
    </row>
    <row r="40" spans="1:6" s="60" customFormat="1" ht="24" customHeight="1" x14ac:dyDescent="0.2">
      <c r="A40" s="61"/>
      <c r="B40" s="61"/>
      <c r="C40" s="61"/>
      <c r="D40" s="62"/>
      <c r="E40" s="61"/>
      <c r="F40" s="62"/>
    </row>
    <row r="41" spans="1:6" s="60" customFormat="1" ht="24" customHeight="1" x14ac:dyDescent="0.2">
      <c r="A41" s="61"/>
      <c r="B41" s="61"/>
      <c r="C41" s="61"/>
      <c r="D41" s="62"/>
      <c r="E41" s="61"/>
      <c r="F41" s="62"/>
    </row>
    <row r="42" spans="1:6" x14ac:dyDescent="0.2">
      <c r="A42" s="59"/>
      <c r="B42" s="61"/>
      <c r="C42" s="61"/>
      <c r="D42" s="59"/>
      <c r="E42" s="59"/>
      <c r="F42" s="59"/>
    </row>
    <row r="43" spans="1:6" x14ac:dyDescent="0.2">
      <c r="A43" s="59"/>
      <c r="B43" s="59"/>
      <c r="C43" s="59"/>
      <c r="D43" s="59"/>
      <c r="E43" s="59"/>
      <c r="F43" s="59"/>
    </row>
    <row r="44" spans="1:6" x14ac:dyDescent="0.2">
      <c r="A44" s="59"/>
      <c r="B44" s="59"/>
      <c r="C44" s="59"/>
      <c r="D44" s="59"/>
      <c r="E44" s="59"/>
      <c r="F44" s="59"/>
    </row>
    <row r="45" spans="1:6" x14ac:dyDescent="0.2">
      <c r="A45" s="59"/>
      <c r="B45" s="59"/>
      <c r="C45" s="59"/>
      <c r="D45" s="59"/>
      <c r="E45" s="59"/>
      <c r="F45" s="59"/>
    </row>
    <row r="46" spans="1:6" x14ac:dyDescent="0.2">
      <c r="A46" s="59"/>
      <c r="B46" s="59"/>
      <c r="C46" s="59"/>
      <c r="D46" s="59"/>
      <c r="E46" s="59"/>
      <c r="F46" s="59"/>
    </row>
    <row r="47" spans="1:6" x14ac:dyDescent="0.2">
      <c r="A47" s="59"/>
      <c r="B47" s="59"/>
      <c r="C47" s="59"/>
      <c r="D47" s="59"/>
      <c r="E47" s="59"/>
      <c r="F47" s="59"/>
    </row>
    <row r="48" spans="1:6" x14ac:dyDescent="0.2">
      <c r="A48" s="59"/>
      <c r="B48" s="59"/>
      <c r="C48" s="59"/>
      <c r="D48" s="59"/>
      <c r="E48" s="59"/>
      <c r="F48" s="59"/>
    </row>
    <row r="49" spans="1:6" x14ac:dyDescent="0.2">
      <c r="A49" s="59"/>
      <c r="B49" s="59"/>
      <c r="C49" s="59"/>
      <c r="D49" s="59"/>
      <c r="E49" s="59"/>
      <c r="F49" s="59"/>
    </row>
    <row r="50" spans="1:6" x14ac:dyDescent="0.2">
      <c r="A50" s="59"/>
      <c r="B50" s="59"/>
      <c r="C50" s="59"/>
      <c r="D50" s="59"/>
      <c r="E50" s="59"/>
      <c r="F50" s="59"/>
    </row>
    <row r="51" spans="1:6" x14ac:dyDescent="0.2">
      <c r="A51" s="59"/>
      <c r="B51" s="59"/>
      <c r="C51" s="59"/>
      <c r="D51" s="59"/>
      <c r="E51" s="59"/>
      <c r="F51" s="59"/>
    </row>
    <row r="52" spans="1:6" x14ac:dyDescent="0.2">
      <c r="A52" s="59"/>
      <c r="B52" s="59"/>
      <c r="C52" s="59"/>
      <c r="D52" s="59"/>
      <c r="E52" s="59"/>
      <c r="F52" s="59"/>
    </row>
    <row r="53" spans="1:6" x14ac:dyDescent="0.2">
      <c r="A53" s="59"/>
      <c r="B53" s="59"/>
      <c r="C53" s="59"/>
      <c r="D53" s="59"/>
      <c r="E53" s="59"/>
      <c r="F53" s="59"/>
    </row>
    <row r="54" spans="1:6" x14ac:dyDescent="0.2">
      <c r="A54" s="59"/>
      <c r="B54" s="59"/>
      <c r="C54" s="59"/>
      <c r="D54" s="59"/>
      <c r="E54" s="59"/>
      <c r="F54" s="59"/>
    </row>
    <row r="55" spans="1:6" x14ac:dyDescent="0.2">
      <c r="A55" s="59"/>
      <c r="B55" s="59"/>
      <c r="C55" s="59"/>
      <c r="D55" s="59"/>
      <c r="E55" s="59"/>
      <c r="F55" s="59"/>
    </row>
    <row r="56" spans="1:6" x14ac:dyDescent="0.2">
      <c r="A56" s="59"/>
      <c r="B56" s="59"/>
      <c r="C56" s="59"/>
      <c r="D56" s="59"/>
      <c r="E56" s="59"/>
      <c r="F56" s="59"/>
    </row>
    <row r="57" spans="1:6" x14ac:dyDescent="0.2">
      <c r="A57" s="59"/>
      <c r="B57" s="59"/>
      <c r="C57" s="59"/>
      <c r="D57" s="59"/>
      <c r="E57" s="59"/>
      <c r="F57" s="59"/>
    </row>
    <row r="58" spans="1:6" x14ac:dyDescent="0.2">
      <c r="A58" s="59"/>
      <c r="B58" s="59"/>
      <c r="C58" s="59"/>
      <c r="D58" s="59"/>
      <c r="E58" s="59"/>
      <c r="F58" s="59"/>
    </row>
    <row r="59" spans="1:6" x14ac:dyDescent="0.2">
      <c r="A59" s="59"/>
      <c r="B59" s="59"/>
      <c r="C59" s="59"/>
      <c r="D59" s="59"/>
      <c r="E59" s="59"/>
      <c r="F59" s="59"/>
    </row>
    <row r="60" spans="1:6" x14ac:dyDescent="0.2">
      <c r="A60" s="59"/>
      <c r="B60" s="59"/>
      <c r="C60" s="59"/>
      <c r="D60" s="59"/>
      <c r="E60" s="59"/>
      <c r="F60" s="59"/>
    </row>
    <row r="61" spans="1:6" x14ac:dyDescent="0.2">
      <c r="A61" s="59"/>
      <c r="B61" s="59"/>
      <c r="C61" s="59"/>
      <c r="D61" s="59"/>
      <c r="E61" s="59"/>
      <c r="F61" s="59"/>
    </row>
    <row r="62" spans="1:6" x14ac:dyDescent="0.2">
      <c r="B62" s="59"/>
      <c r="C62" s="59"/>
    </row>
    <row r="63" spans="1:6" x14ac:dyDescent="0.2">
      <c r="B63" s="59"/>
      <c r="C63" s="59"/>
    </row>
    <row r="64" spans="1:6" x14ac:dyDescent="0.2">
      <c r="B64" s="59"/>
      <c r="C64" s="59"/>
    </row>
    <row r="65" spans="2:3" x14ac:dyDescent="0.2">
      <c r="B65" s="59"/>
      <c r="C65" s="59"/>
    </row>
    <row r="66" spans="2:3" x14ac:dyDescent="0.2">
      <c r="B66" s="59"/>
      <c r="C66" s="59"/>
    </row>
  </sheetData>
  <mergeCells count="5">
    <mergeCell ref="A21:B21"/>
    <mergeCell ref="C21:D21"/>
    <mergeCell ref="E21:F21"/>
    <mergeCell ref="A11:D11"/>
    <mergeCell ref="A1:J1"/>
  </mergeCells>
  <conditionalFormatting sqref="A21:B29 A30:A61">
    <cfRule type="expression" dxfId="65" priority="12" stopIfTrue="1">
      <formula>$B$5=""</formula>
    </cfRule>
  </conditionalFormatting>
  <conditionalFormatting sqref="C21:D29 D30:D61">
    <cfRule type="expression" dxfId="64" priority="11" stopIfTrue="1">
      <formula>$C$5=""</formula>
    </cfRule>
  </conditionalFormatting>
  <conditionalFormatting sqref="E21:F61">
    <cfRule type="expression" dxfId="63" priority="10" stopIfTrue="1">
      <formula>$D$5=""</formula>
    </cfRule>
  </conditionalFormatting>
  <conditionalFormatting sqref="A22:F29 A30:A41 D30:F41">
    <cfRule type="cellIs" dxfId="62" priority="13" stopIfTrue="1" operator="equal">
      <formula>""</formula>
    </cfRule>
  </conditionalFormatting>
  <conditionalFormatting sqref="B30:C42">
    <cfRule type="expression" dxfId="61" priority="8" stopIfTrue="1">
      <formula>$D$5=""</formula>
    </cfRule>
  </conditionalFormatting>
  <conditionalFormatting sqref="B30:C42">
    <cfRule type="cellIs" dxfId="60" priority="9" stopIfTrue="1" operator="equal">
      <formula>""</formula>
    </cfRule>
  </conditionalFormatting>
  <conditionalFormatting sqref="B43:C66">
    <cfRule type="expression" dxfId="59" priority="7" stopIfTrue="1">
      <formula>$B$5=""</formula>
    </cfRule>
  </conditionalFormatting>
  <conditionalFormatting sqref="B5">
    <cfRule type="containsBlanks" dxfId="58" priority="6">
      <formula>LEN(TRIM(B5))=0</formula>
    </cfRule>
  </conditionalFormatting>
  <conditionalFormatting sqref="B7">
    <cfRule type="containsBlanks" dxfId="57" priority="5">
      <formula>LEN(TRIM(B7))=0</formula>
    </cfRule>
  </conditionalFormatting>
  <conditionalFormatting sqref="C5">
    <cfRule type="containsBlanks" dxfId="56" priority="4">
      <formula>LEN(TRIM(C5))=0</formula>
    </cfRule>
  </conditionalFormatting>
  <conditionalFormatting sqref="C7">
    <cfRule type="containsBlanks" dxfId="55" priority="3">
      <formula>LEN(TRIM(C7))=0</formula>
    </cfRule>
  </conditionalFormatting>
  <conditionalFormatting sqref="D5">
    <cfRule type="containsBlanks" dxfId="54" priority="2">
      <formula>LEN(TRIM(D5))=0</formula>
    </cfRule>
  </conditionalFormatting>
  <conditionalFormatting sqref="D7">
    <cfRule type="containsBlanks" dxfId="53" priority="1">
      <formula>LEN(TRIM(D7))=0</formula>
    </cfRule>
  </conditionalFormatting>
  <dataValidations count="4">
    <dataValidation type="list" showErrorMessage="1" sqref="B5:D5" xr:uid="{CF60D73B-4C95-DF4C-982E-39E17EF29B62}">
      <formula1>BuildingUsageTypes</formula1>
    </dataValidation>
    <dataValidation type="list" allowBlank="1" showErrorMessage="1" sqref="B6" xr:uid="{3C314392-C8EF-B348-AB85-BC2A47E5CE85}">
      <formula1>IF(B5="Hotel",HotelType,IF(B5="Restaurant",RestaurantType,IF(B5="Verkauf",ShopType,BuildingUsageSubTypes)))</formula1>
    </dataValidation>
    <dataValidation type="list" allowBlank="1" showErrorMessage="1" sqref="C6" xr:uid="{568067CB-7745-274C-ACA2-4EF299C9D38D}">
      <formula1>IF(C5="Hotel",HotelType,IF(C5="Restaurant",RestaurantType,IF(C5="Verkauf",ShopType,BuildingUsageSubTypes)))</formula1>
    </dataValidation>
    <dataValidation type="list" allowBlank="1" showErrorMessage="1" sqref="D6" xr:uid="{71D132B6-C845-D846-84A2-6F2228800DB5}">
      <formula1>IF(D5="Hotel",HotelType,IF(D5="Restaurant",RestaurantType,IF(D5="Verkauf",ShopType,BuildingUsageSubTypes)))</formula1>
    </dataValidation>
  </dataValidations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DD3C-35B0-E149-95C1-A184646E8E88}">
  <dimension ref="A1:Q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3" customWidth="1"/>
    <col min="3" max="3" width="18.6640625" style="1" customWidth="1"/>
    <col min="4" max="4" width="11" style="1" customWidth="1"/>
    <col min="5" max="5" width="12.6640625" style="84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4.3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5" width="12" style="1" customWidth="1"/>
    <col min="16" max="16" width="20.83203125" style="1" customWidth="1"/>
    <col min="17" max="17" width="13.1640625" style="1" customWidth="1"/>
    <col min="18" max="16384" width="9.1640625" style="1"/>
  </cols>
  <sheetData>
    <row r="1" spans="1:17" ht="15" customHeight="1" thickBot="1" x14ac:dyDescent="0.2">
      <c r="A1" s="118" t="s">
        <v>102</v>
      </c>
      <c r="B1" s="91"/>
      <c r="C1" s="91"/>
      <c r="D1" s="91"/>
      <c r="E1" s="91"/>
      <c r="F1" s="91"/>
      <c r="G1" s="91"/>
      <c r="H1" s="91"/>
      <c r="I1" s="91"/>
      <c r="J1" s="91"/>
      <c r="K1" s="161"/>
      <c r="L1" s="161"/>
      <c r="M1" s="161"/>
      <c r="N1" s="161"/>
      <c r="O1" s="161"/>
      <c r="P1" s="161"/>
      <c r="Q1" s="161"/>
    </row>
    <row r="2" spans="1:17" ht="15" customHeight="1" x14ac:dyDescent="0.15">
      <c r="D2" s="4"/>
      <c r="E2" s="83"/>
      <c r="F2" s="21"/>
      <c r="G2" s="21"/>
      <c r="H2" s="21"/>
      <c r="I2" s="4"/>
    </row>
    <row r="3" spans="1:17" ht="15" customHeight="1" x14ac:dyDescent="0.15">
      <c r="A3" s="159" t="s">
        <v>103</v>
      </c>
      <c r="B3" s="162"/>
      <c r="C3" s="163"/>
      <c r="D3" s="164"/>
      <c r="E3" s="164"/>
      <c r="F3" s="165"/>
      <c r="G3" s="21"/>
      <c r="H3" s="21"/>
      <c r="I3" s="4"/>
    </row>
    <row r="4" spans="1:17" ht="15" customHeight="1" x14ac:dyDescent="0.15">
      <c r="C4" s="166" t="s">
        <v>104</v>
      </c>
      <c r="D4" s="167"/>
      <c r="E4" s="167"/>
      <c r="F4" s="167"/>
      <c r="G4" s="21"/>
      <c r="H4" s="170" t="s">
        <v>105</v>
      </c>
      <c r="I4" s="171"/>
      <c r="J4" s="171"/>
      <c r="K4" s="171"/>
    </row>
    <row r="5" spans="1:17" ht="33" customHeight="1" x14ac:dyDescent="0.15">
      <c r="A5" s="168" t="s">
        <v>343</v>
      </c>
      <c r="B5" s="169"/>
      <c r="C5" s="157"/>
      <c r="D5" s="157"/>
      <c r="E5" s="157"/>
      <c r="F5" s="157"/>
      <c r="G5" s="39"/>
      <c r="H5" s="158"/>
      <c r="I5" s="158"/>
      <c r="J5" s="158"/>
      <c r="K5" s="158"/>
    </row>
    <row r="6" spans="1:17" ht="15" customHeight="1" x14ac:dyDescent="0.15">
      <c r="A6" s="159" t="s">
        <v>193</v>
      </c>
      <c r="B6" s="160"/>
      <c r="C6" s="157"/>
      <c r="D6" s="157"/>
      <c r="E6" s="157"/>
      <c r="F6" s="157"/>
      <c r="G6" s="39"/>
      <c r="H6" s="158"/>
      <c r="I6" s="158"/>
      <c r="J6" s="158"/>
      <c r="K6" s="158"/>
    </row>
    <row r="7" spans="1:17" ht="62.25" customHeight="1" x14ac:dyDescent="0.15">
      <c r="A7" s="155" t="s">
        <v>18</v>
      </c>
      <c r="B7" s="156"/>
      <c r="C7" s="157"/>
      <c r="D7" s="157"/>
      <c r="E7" s="157"/>
      <c r="F7" s="157"/>
      <c r="G7" s="39"/>
      <c r="H7" s="158"/>
      <c r="I7" s="158"/>
      <c r="J7" s="158"/>
      <c r="K7" s="158"/>
    </row>
    <row r="8" spans="1:17" ht="62.25" customHeight="1" x14ac:dyDescent="0.15">
      <c r="A8" s="155" t="s">
        <v>91</v>
      </c>
      <c r="B8" s="156"/>
      <c r="C8" s="157"/>
      <c r="D8" s="157"/>
      <c r="E8" s="157"/>
      <c r="F8" s="157"/>
      <c r="G8" s="39"/>
      <c r="H8" s="158"/>
      <c r="I8" s="158"/>
      <c r="J8" s="158"/>
      <c r="K8" s="158"/>
    </row>
    <row r="9" spans="1:17" ht="34.5" customHeight="1" x14ac:dyDescent="0.15">
      <c r="D9" s="4"/>
      <c r="E9" s="83"/>
      <c r="F9" s="21"/>
      <c r="G9" s="21"/>
      <c r="H9" s="21"/>
      <c r="I9" s="4"/>
    </row>
    <row r="10" spans="1:17" ht="34.5" customHeight="1" x14ac:dyDescent="0.15">
      <c r="A10" s="119" t="s">
        <v>16</v>
      </c>
      <c r="B10" s="119" t="s">
        <v>27</v>
      </c>
      <c r="C10" s="119" t="s">
        <v>21</v>
      </c>
      <c r="D10" s="119" t="s">
        <v>19</v>
      </c>
      <c r="E10" s="120" t="s">
        <v>349</v>
      </c>
      <c r="F10" s="119" t="s">
        <v>162</v>
      </c>
      <c r="G10" s="119" t="s">
        <v>350</v>
      </c>
      <c r="H10" s="119" t="s">
        <v>120</v>
      </c>
      <c r="I10" s="119" t="s">
        <v>119</v>
      </c>
      <c r="J10" s="119" t="s">
        <v>96</v>
      </c>
      <c r="K10" s="121" t="s">
        <v>351</v>
      </c>
      <c r="L10" s="119" t="s">
        <v>352</v>
      </c>
      <c r="M10" s="119" t="s">
        <v>99</v>
      </c>
      <c r="N10" s="119" t="s">
        <v>204</v>
      </c>
      <c r="O10" s="119" t="s">
        <v>205</v>
      </c>
      <c r="P10" s="119" t="s">
        <v>196</v>
      </c>
      <c r="Q10" s="119" t="s">
        <v>197</v>
      </c>
    </row>
    <row r="11" spans="1:17" ht="15" customHeight="1" x14ac:dyDescent="0.15">
      <c r="D11" s="4"/>
      <c r="F11" s="5"/>
      <c r="G11" s="21"/>
      <c r="H11" s="21"/>
      <c r="I11" s="4"/>
    </row>
    <row r="12" spans="1:17" ht="15" customHeight="1" x14ac:dyDescent="0.15">
      <c r="D12" s="4"/>
      <c r="F12" s="5"/>
      <c r="G12" s="21"/>
      <c r="H12" s="21"/>
      <c r="I12" s="4"/>
    </row>
    <row r="13" spans="1:17" ht="15" customHeight="1" x14ac:dyDescent="0.15">
      <c r="D13" s="4"/>
      <c r="F13" s="5"/>
      <c r="G13" s="21"/>
      <c r="H13" s="21"/>
      <c r="I13" s="4"/>
    </row>
    <row r="14" spans="1:17" ht="15" customHeight="1" x14ac:dyDescent="0.15">
      <c r="D14" s="4"/>
      <c r="F14" s="5"/>
      <c r="G14" s="21"/>
      <c r="H14" s="21"/>
      <c r="I14" s="4"/>
    </row>
    <row r="15" spans="1:17" ht="15" customHeight="1" x14ac:dyDescent="0.15">
      <c r="D15" s="4"/>
      <c r="F15" s="5"/>
      <c r="G15" s="21"/>
      <c r="H15" s="21"/>
      <c r="I15" s="4"/>
    </row>
    <row r="16" spans="1:17" ht="15" customHeight="1" x14ac:dyDescent="0.15">
      <c r="D16" s="4"/>
      <c r="F16" s="5"/>
      <c r="G16" s="21"/>
      <c r="H16" s="21"/>
      <c r="I16" s="4"/>
    </row>
    <row r="17" spans="4:9" ht="15" customHeight="1" x14ac:dyDescent="0.15">
      <c r="D17" s="4"/>
      <c r="F17" s="5"/>
      <c r="G17" s="21"/>
      <c r="H17" s="21"/>
      <c r="I17" s="4"/>
    </row>
    <row r="18" spans="4:9" ht="15" customHeight="1" x14ac:dyDescent="0.15">
      <c r="D18" s="4"/>
      <c r="F18" s="5"/>
      <c r="G18" s="21"/>
      <c r="H18" s="21"/>
      <c r="I18" s="4"/>
    </row>
    <row r="19" spans="4:9" ht="15" customHeight="1" x14ac:dyDescent="0.15">
      <c r="D19" s="4"/>
      <c r="F19" s="5"/>
      <c r="G19" s="21"/>
      <c r="H19" s="21"/>
      <c r="I19" s="4"/>
    </row>
    <row r="20" spans="4:9" ht="15" customHeight="1" x14ac:dyDescent="0.15">
      <c r="D20" s="4"/>
      <c r="F20" s="5"/>
      <c r="G20" s="21"/>
      <c r="H20" s="21"/>
      <c r="I20" s="4"/>
    </row>
    <row r="21" spans="4:9" ht="15" customHeight="1" x14ac:dyDescent="0.15">
      <c r="D21" s="4"/>
      <c r="F21" s="5"/>
      <c r="G21" s="21"/>
      <c r="H21" s="21"/>
      <c r="I21" s="4"/>
    </row>
    <row r="22" spans="4:9" ht="15" customHeight="1" x14ac:dyDescent="0.15">
      <c r="D22" s="4"/>
      <c r="F22" s="5"/>
      <c r="G22" s="21"/>
      <c r="H22" s="21"/>
      <c r="I22" s="4"/>
    </row>
    <row r="23" spans="4:9" ht="15" customHeight="1" x14ac:dyDescent="0.15">
      <c r="D23" s="4"/>
      <c r="F23" s="5"/>
      <c r="G23" s="21"/>
      <c r="H23" s="21"/>
      <c r="I23" s="4"/>
    </row>
    <row r="24" spans="4:9" ht="15" customHeight="1" x14ac:dyDescent="0.15">
      <c r="D24" s="4"/>
      <c r="F24" s="5"/>
      <c r="G24" s="21"/>
      <c r="H24" s="21"/>
      <c r="I24" s="4"/>
    </row>
  </sheetData>
  <mergeCells count="17">
    <mergeCell ref="K1:Q1"/>
    <mergeCell ref="A3:B3"/>
    <mergeCell ref="C3:F3"/>
    <mergeCell ref="C4:F4"/>
    <mergeCell ref="A5:B5"/>
    <mergeCell ref="C5:F5"/>
    <mergeCell ref="H5:K5"/>
    <mergeCell ref="H4:K4"/>
    <mergeCell ref="A8:B8"/>
    <mergeCell ref="C8:F8"/>
    <mergeCell ref="H8:K8"/>
    <mergeCell ref="A6:B6"/>
    <mergeCell ref="C6:F6"/>
    <mergeCell ref="H6:K6"/>
    <mergeCell ref="A7:B7"/>
    <mergeCell ref="C7:F7"/>
    <mergeCell ref="H7:K7"/>
  </mergeCells>
  <conditionalFormatting sqref="C3">
    <cfRule type="containsBlanks" dxfId="52" priority="7">
      <formula>LEN(TRIM(C3))=0</formula>
    </cfRule>
  </conditionalFormatting>
  <conditionalFormatting sqref="C4">
    <cfRule type="containsBlanks" dxfId="51" priority="6">
      <formula>LEN(TRIM(C4))=0</formula>
    </cfRule>
  </conditionalFormatting>
  <conditionalFormatting sqref="H4">
    <cfRule type="containsBlanks" dxfId="50" priority="5">
      <formula>LEN(TRIM(H4))=0</formula>
    </cfRule>
  </conditionalFormatting>
  <conditionalFormatting sqref="C5">
    <cfRule type="containsBlanks" dxfId="49" priority="4">
      <formula>LEN(TRIM(C5))=0</formula>
    </cfRule>
  </conditionalFormatting>
  <conditionalFormatting sqref="H5">
    <cfRule type="containsBlanks" dxfId="48" priority="3">
      <formula>LEN(TRIM(H5))=0</formula>
    </cfRule>
  </conditionalFormatting>
  <conditionalFormatting sqref="A11:D110 F11:I110">
    <cfRule type="expression" dxfId="47" priority="2">
      <formula>AND(COUNTA($A11:$Q11)&gt;0,ISBLANK(A11))</formula>
    </cfRule>
  </conditionalFormatting>
  <conditionalFormatting sqref="A11:D110 F11:I110">
    <cfRule type="expression" dxfId="46" priority="1">
      <formula>AND(COUNTA($A11:$Q11)&gt;0,ISBLANK(A11))</formula>
    </cfRule>
  </conditionalFormatting>
  <dataValidations count="15">
    <dataValidation type="list" showErrorMessage="1" sqref="C3" xr:uid="{2F5F7D5B-DB58-3146-AA45-975A473A70B8}">
      <formula1>RoofType</formula1>
    </dataValidation>
    <dataValidation type="list" showErrorMessage="1" sqref="C5" xr:uid="{3E25B050-917A-A64C-86C2-355B9EC0DAE0}">
      <formula1>GeneralCondition</formula1>
    </dataValidation>
    <dataValidation type="list" showErrorMessage="1" sqref="H5" xr:uid="{476456EA-6472-A145-A47C-E87CB43E30FB}">
      <formula1>GeneralCondition</formula1>
    </dataValidation>
    <dataValidation type="list" allowBlank="1" showErrorMessage="1" sqref="C6" xr:uid="{A3FA5184-9FC9-2941-A70C-F20BD6324323}">
      <formula1>Prioritization</formula1>
    </dataValidation>
    <dataValidation type="list" allowBlank="1" showErrorMessage="1" sqref="H6" xr:uid="{C968836A-A6B4-5244-B1C2-32B4B6882411}">
      <formula1>Prioritization</formula1>
    </dataValidation>
    <dataValidation type="textLength" operator="lessThanOrEqual" allowBlank="1" showInputMessage="1" showErrorMessage="1" prompt="Max. 1000 Zeichen." sqref="C7" xr:uid="{0307B7E8-4172-124E-933E-41ADDBE05AFE}">
      <formula1>1000</formula1>
    </dataValidation>
    <dataValidation type="textLength" operator="lessThanOrEqual" allowBlank="1" showInputMessage="1" showErrorMessage="1" prompt="Max. 1000 Zeichen." sqref="H7" xr:uid="{33F70D29-1820-D440-AABA-46635E623CA4}">
      <formula1>1000</formula1>
    </dataValidation>
    <dataValidation type="textLength" operator="lessThanOrEqual" allowBlank="1" showInputMessage="1" showErrorMessage="1" prompt="Max. 1000 Zeichen." sqref="C8" xr:uid="{E83972D8-AB6D-4146-8A7B-B2A1C6E348A9}">
      <formula1>1000</formula1>
    </dataValidation>
    <dataValidation type="textLength" operator="lessThanOrEqual" allowBlank="1" showInputMessage="1" showErrorMessage="1" prompt="Max. 1000 Zeichen." sqref="H8" xr:uid="{63BC7065-84AD-E844-819E-4A10E8A314BD}">
      <formula1>1000</formula1>
    </dataValidation>
    <dataValidation type="list" showInputMessage="1" prompt="Max. 5 Zeichen." sqref="A11:A110" xr:uid="{6576A89F-7811-BE4A-A345-263A4FA9A0A3}">
      <formula1>WS2ExpertCodes</formula1>
    </dataValidation>
    <dataValidation type="list" showInputMessage="1" showErrorMessage="1" prompt="Max. 5 Zeichen." sqref="J11:J110" xr:uid="{A72A0A6E-C85C-B442-827F-B1EE6A1EA8BB}">
      <formula1>HeaterExpertCodes</formula1>
    </dataValidation>
    <dataValidation type="list" showErrorMessage="1" sqref="C11:C110" xr:uid="{8D51385E-4CA5-3F45-97E1-1013460FE4BF}">
      <formula1>RoofCeilingType</formula1>
    </dataValidation>
    <dataValidation type="list" showErrorMessage="1" sqref="D11:D110" xr:uid="{B2F2260D-839B-E248-AA41-531D9EE5D3AF}">
      <formula1>OrientationHExtended</formula1>
    </dataValidation>
    <dataValidation type="list" allowBlank="1" showErrorMessage="1" sqref="P11:P110" xr:uid="{D1012299-AF78-F04E-AB1C-5320C78C4A0F}">
      <formula1>CalculationBase_NoMeter</formula1>
    </dataValidation>
    <dataValidation type="textLength" operator="lessThanOrEqual" allowBlank="1" showInputMessage="1" showErrorMessage="1" prompt="Max. 250 Zeichen." sqref="B11:B111" xr:uid="{8910C044-ED24-C941-8A31-BBEEDD2DFCE7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E69A-B271-F849-923C-603AE17037DA}">
  <sheetPr codeName="Sheet2"/>
  <dimension ref="A1:Q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3" customWidth="1"/>
    <col min="3" max="3" width="18.6640625" style="1" customWidth="1"/>
    <col min="4" max="4" width="11" style="1" customWidth="1"/>
    <col min="5" max="5" width="12.6640625" style="83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4.3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5" width="11.33203125" style="1" customWidth="1"/>
    <col min="16" max="16" width="20.5" style="1" customWidth="1"/>
    <col min="17" max="17" width="13.6640625" style="1" customWidth="1"/>
    <col min="18" max="16384" width="9.1640625" style="1"/>
  </cols>
  <sheetData>
    <row r="1" spans="1:17" ht="15" customHeight="1" thickBot="1" x14ac:dyDescent="0.2">
      <c r="A1" s="118" t="s">
        <v>87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9"/>
      <c r="M1" s="89"/>
      <c r="N1" s="89"/>
      <c r="O1" s="89"/>
      <c r="P1" s="89"/>
      <c r="Q1" s="89"/>
    </row>
    <row r="2" spans="1:17" ht="15" customHeight="1" x14ac:dyDescent="0.15">
      <c r="D2" s="4"/>
      <c r="F2" s="21"/>
      <c r="G2" s="21"/>
      <c r="H2" s="21"/>
      <c r="I2" s="4"/>
    </row>
    <row r="3" spans="1:17" ht="15" customHeight="1" x14ac:dyDescent="0.15">
      <c r="A3" s="159" t="s">
        <v>12</v>
      </c>
      <c r="B3" s="162"/>
      <c r="C3" s="163"/>
      <c r="D3" s="164"/>
      <c r="E3" s="164"/>
      <c r="F3" s="165"/>
      <c r="G3" s="21"/>
      <c r="H3" s="21"/>
      <c r="I3" s="4"/>
    </row>
    <row r="4" spans="1:17" ht="15" customHeight="1" x14ac:dyDescent="0.15">
      <c r="C4" s="166" t="s">
        <v>88</v>
      </c>
      <c r="D4" s="167"/>
      <c r="E4" s="167"/>
      <c r="F4" s="167"/>
      <c r="G4" s="21"/>
      <c r="H4" s="170" t="s">
        <v>89</v>
      </c>
      <c r="I4" s="171"/>
      <c r="J4" s="171"/>
      <c r="K4" s="171"/>
    </row>
    <row r="5" spans="1:17" ht="33" customHeight="1" x14ac:dyDescent="0.15">
      <c r="A5" s="168" t="s">
        <v>343</v>
      </c>
      <c r="B5" s="169"/>
      <c r="C5" s="157"/>
      <c r="D5" s="157"/>
      <c r="E5" s="157"/>
      <c r="F5" s="157"/>
      <c r="G5" s="39"/>
      <c r="H5" s="173"/>
      <c r="I5" s="174"/>
      <c r="J5" s="174"/>
      <c r="K5" s="175"/>
    </row>
    <row r="6" spans="1:17" ht="15" customHeight="1" x14ac:dyDescent="0.15">
      <c r="A6" s="159" t="s">
        <v>193</v>
      </c>
      <c r="B6" s="160"/>
      <c r="C6" s="157"/>
      <c r="D6" s="157"/>
      <c r="E6" s="157"/>
      <c r="F6" s="157"/>
      <c r="G6" s="39"/>
      <c r="H6" s="173"/>
      <c r="I6" s="174"/>
      <c r="J6" s="174"/>
      <c r="K6" s="175"/>
    </row>
    <row r="7" spans="1:17" ht="62.25" customHeight="1" x14ac:dyDescent="0.15">
      <c r="A7" s="155" t="s">
        <v>18</v>
      </c>
      <c r="B7" s="172"/>
      <c r="C7" s="157"/>
      <c r="D7" s="157"/>
      <c r="E7" s="157"/>
      <c r="F7" s="157"/>
      <c r="G7" s="39"/>
      <c r="H7" s="173"/>
      <c r="I7" s="174"/>
      <c r="J7" s="174"/>
      <c r="K7" s="175"/>
    </row>
    <row r="8" spans="1:17" ht="62.25" customHeight="1" x14ac:dyDescent="0.15">
      <c r="A8" s="155" t="s">
        <v>91</v>
      </c>
      <c r="B8" s="156"/>
      <c r="C8" s="157"/>
      <c r="D8" s="157"/>
      <c r="E8" s="157"/>
      <c r="F8" s="157"/>
      <c r="G8" s="39"/>
      <c r="H8" s="173"/>
      <c r="I8" s="174"/>
      <c r="J8" s="174"/>
      <c r="K8" s="175"/>
    </row>
    <row r="9" spans="1:17" ht="25.5" customHeight="1" x14ac:dyDescent="0.15">
      <c r="D9" s="4"/>
      <c r="F9" s="21"/>
      <c r="G9" s="21"/>
      <c r="H9" s="21"/>
      <c r="I9" s="4"/>
    </row>
    <row r="10" spans="1:17" ht="34.5" customHeight="1" x14ac:dyDescent="0.15">
      <c r="A10" s="119" t="s">
        <v>16</v>
      </c>
      <c r="B10" s="119" t="s">
        <v>27</v>
      </c>
      <c r="C10" s="119" t="s">
        <v>21</v>
      </c>
      <c r="D10" s="119" t="s">
        <v>19</v>
      </c>
      <c r="E10" s="120" t="s">
        <v>349</v>
      </c>
      <c r="F10" s="119" t="s">
        <v>162</v>
      </c>
      <c r="G10" s="119" t="s">
        <v>350</v>
      </c>
      <c r="H10" s="119" t="s">
        <v>120</v>
      </c>
      <c r="I10" s="119" t="s">
        <v>119</v>
      </c>
      <c r="J10" s="119" t="s">
        <v>96</v>
      </c>
      <c r="K10" s="121" t="s">
        <v>351</v>
      </c>
      <c r="L10" s="119" t="s">
        <v>352</v>
      </c>
      <c r="M10" s="119" t="s">
        <v>99</v>
      </c>
      <c r="N10" s="119" t="s">
        <v>204</v>
      </c>
      <c r="O10" s="119" t="s">
        <v>205</v>
      </c>
      <c r="P10" s="119" t="s">
        <v>196</v>
      </c>
      <c r="Q10" s="119" t="s">
        <v>197</v>
      </c>
    </row>
    <row r="11" spans="1:17" ht="15" customHeight="1" x14ac:dyDescent="0.15">
      <c r="D11" s="4"/>
      <c r="E11" s="84"/>
      <c r="F11" s="5"/>
      <c r="G11" s="21"/>
      <c r="H11" s="21"/>
      <c r="I11" s="4"/>
    </row>
    <row r="12" spans="1:17" ht="15" customHeight="1" x14ac:dyDescent="0.15">
      <c r="D12" s="4"/>
      <c r="E12" s="84"/>
      <c r="F12" s="5"/>
      <c r="G12" s="21"/>
      <c r="H12" s="21"/>
      <c r="I12" s="4"/>
    </row>
    <row r="13" spans="1:17" ht="15" customHeight="1" x14ac:dyDescent="0.15">
      <c r="D13" s="4"/>
      <c r="E13" s="84"/>
      <c r="F13" s="5"/>
      <c r="G13" s="21"/>
      <c r="H13" s="21"/>
      <c r="I13" s="4"/>
    </row>
    <row r="14" spans="1:17" ht="15" customHeight="1" x14ac:dyDescent="0.15">
      <c r="D14" s="4"/>
      <c r="E14" s="84"/>
      <c r="F14" s="5"/>
      <c r="G14" s="21"/>
      <c r="H14" s="21"/>
      <c r="I14" s="4"/>
    </row>
    <row r="15" spans="1:17" ht="15" customHeight="1" x14ac:dyDescent="0.15">
      <c r="D15" s="4"/>
      <c r="E15" s="84"/>
      <c r="F15" s="5"/>
      <c r="G15" s="21"/>
      <c r="H15" s="21"/>
      <c r="I15" s="4"/>
    </row>
    <row r="16" spans="1:17" ht="15" customHeight="1" x14ac:dyDescent="0.15">
      <c r="D16" s="4"/>
      <c r="E16" s="84"/>
      <c r="F16" s="5"/>
      <c r="G16" s="21"/>
      <c r="H16" s="21"/>
      <c r="I16" s="4"/>
    </row>
    <row r="17" spans="4:9" ht="15" customHeight="1" x14ac:dyDescent="0.15">
      <c r="D17" s="4"/>
      <c r="E17" s="84"/>
      <c r="F17" s="5"/>
      <c r="G17" s="21"/>
      <c r="H17" s="21"/>
      <c r="I17" s="4"/>
    </row>
    <row r="18" spans="4:9" ht="15" customHeight="1" x14ac:dyDescent="0.15">
      <c r="D18" s="4"/>
      <c r="E18" s="84"/>
      <c r="F18" s="5"/>
      <c r="G18" s="21"/>
      <c r="H18" s="21"/>
      <c r="I18" s="4"/>
    </row>
    <row r="19" spans="4:9" ht="15" customHeight="1" x14ac:dyDescent="0.15">
      <c r="D19" s="4"/>
      <c r="E19" s="84"/>
      <c r="F19" s="5"/>
      <c r="G19" s="21"/>
      <c r="H19" s="21"/>
      <c r="I19" s="4"/>
    </row>
    <row r="20" spans="4:9" ht="15" customHeight="1" x14ac:dyDescent="0.15">
      <c r="D20" s="4"/>
      <c r="E20" s="84"/>
      <c r="F20" s="5"/>
      <c r="G20" s="21"/>
      <c r="H20" s="21"/>
      <c r="I20" s="4"/>
    </row>
    <row r="21" spans="4:9" ht="15" customHeight="1" x14ac:dyDescent="0.15">
      <c r="D21" s="4"/>
      <c r="E21" s="84"/>
      <c r="F21" s="5"/>
      <c r="G21" s="21"/>
      <c r="H21" s="21"/>
      <c r="I21" s="4"/>
    </row>
    <row r="22" spans="4:9" ht="15" customHeight="1" x14ac:dyDescent="0.15">
      <c r="D22" s="4"/>
      <c r="E22" s="84"/>
      <c r="F22" s="5"/>
      <c r="G22" s="21"/>
      <c r="H22" s="21"/>
      <c r="I22" s="4"/>
    </row>
    <row r="23" spans="4:9" ht="15" customHeight="1" x14ac:dyDescent="0.15">
      <c r="D23" s="4"/>
      <c r="E23" s="84"/>
      <c r="F23" s="5"/>
      <c r="G23" s="21"/>
      <c r="H23" s="21"/>
      <c r="I23" s="4"/>
    </row>
    <row r="24" spans="4:9" ht="15" customHeight="1" x14ac:dyDescent="0.15">
      <c r="D24" s="4"/>
      <c r="E24" s="84"/>
      <c r="F24" s="5"/>
      <c r="G24" s="21"/>
      <c r="H24" s="21"/>
      <c r="I24" s="4"/>
    </row>
  </sheetData>
  <mergeCells count="16">
    <mergeCell ref="H5:K5"/>
    <mergeCell ref="H6:K6"/>
    <mergeCell ref="H4:K4"/>
    <mergeCell ref="H7:K7"/>
    <mergeCell ref="H8:K8"/>
    <mergeCell ref="C5:F5"/>
    <mergeCell ref="C6:F6"/>
    <mergeCell ref="C7:F7"/>
    <mergeCell ref="C8:F8"/>
    <mergeCell ref="A5:B5"/>
    <mergeCell ref="A6:B6"/>
    <mergeCell ref="A7:B7"/>
    <mergeCell ref="A8:B8"/>
    <mergeCell ref="A3:B3"/>
    <mergeCell ref="C3:F3"/>
    <mergeCell ref="C4:F4"/>
  </mergeCells>
  <conditionalFormatting sqref="C3">
    <cfRule type="containsBlanks" dxfId="45" priority="7">
      <formula>LEN(TRIM(C3))=0</formula>
    </cfRule>
  </conditionalFormatting>
  <conditionalFormatting sqref="C4">
    <cfRule type="containsBlanks" dxfId="44" priority="6">
      <formula>LEN(TRIM(C4))=0</formula>
    </cfRule>
  </conditionalFormatting>
  <conditionalFormatting sqref="H4">
    <cfRule type="containsBlanks" dxfId="43" priority="5">
      <formula>LEN(TRIM(H4))=0</formula>
    </cfRule>
  </conditionalFormatting>
  <conditionalFormatting sqref="C5">
    <cfRule type="containsBlanks" dxfId="42" priority="4">
      <formula>LEN(TRIM(C5))=0</formula>
    </cfRule>
  </conditionalFormatting>
  <conditionalFormatting sqref="H5">
    <cfRule type="containsBlanks" dxfId="41" priority="3">
      <formula>LEN(TRIM(H5))=0</formula>
    </cfRule>
  </conditionalFormatting>
  <conditionalFormatting sqref="A11:D110 F11:I110">
    <cfRule type="expression" dxfId="40" priority="2">
      <formula>AND(COUNTA($A11:$Q11)&gt;0,ISBLANK(A11))</formula>
    </cfRule>
  </conditionalFormatting>
  <conditionalFormatting sqref="A11:D110 F11:I110">
    <cfRule type="expression" dxfId="39" priority="1">
      <formula>AND(COUNTA($A11:$Q11)&gt;0,ISBLANK(A11))</formula>
    </cfRule>
  </conditionalFormatting>
  <dataValidations count="15">
    <dataValidation type="list" showErrorMessage="1" sqref="C3" xr:uid="{FC24B47F-8CA4-894C-BA56-28022137E764}">
      <formula1>FacadeStructure</formula1>
    </dataValidation>
    <dataValidation type="list" showErrorMessage="1" sqref="C5" xr:uid="{F78DE941-F9E7-5F49-847B-93FCFDF362DC}">
      <formula1>GeneralCondition</formula1>
    </dataValidation>
    <dataValidation type="list" showErrorMessage="1" sqref="H5" xr:uid="{AD3675D1-2EF3-A44A-BB55-CE25937A3290}">
      <formula1>GeneralCondition</formula1>
    </dataValidation>
    <dataValidation type="list" allowBlank="1" showErrorMessage="1" sqref="C6" xr:uid="{C92553E4-C02B-F14D-8A61-7C6339C6C9EF}">
      <formula1>Prioritization</formula1>
    </dataValidation>
    <dataValidation type="list" allowBlank="1" showErrorMessage="1" sqref="H6" xr:uid="{46615414-1935-954F-86D3-53E54353F49A}">
      <formula1>Prioritization</formula1>
    </dataValidation>
    <dataValidation type="textLength" operator="lessThanOrEqual" allowBlank="1" showInputMessage="1" showErrorMessage="1" prompt="Max. 1000 Zeichen." sqref="C7" xr:uid="{ADA7524F-6D4E-8C4D-873F-E6F5183F937F}">
      <formula1>1000</formula1>
    </dataValidation>
    <dataValidation type="textLength" operator="lessThanOrEqual" allowBlank="1" showInputMessage="1" showErrorMessage="1" prompt="Max. 1000 Zeichen." sqref="H7" xr:uid="{045B6548-A9E7-2C45-8CF0-13A14AD4C41B}">
      <formula1>1000</formula1>
    </dataValidation>
    <dataValidation type="textLength" operator="lessThanOrEqual" allowBlank="1" showInputMessage="1" showErrorMessage="1" prompt="Max. 1000 Zeichen." sqref="C8" xr:uid="{D8D922A7-F275-C140-B996-E65990F34D0A}">
      <formula1>1000</formula1>
    </dataValidation>
    <dataValidation type="textLength" operator="lessThanOrEqual" allowBlank="1" showInputMessage="1" showErrorMessage="1" prompt="Max. 1000 Zeichen." sqref="H8" xr:uid="{27296639-6014-7E41-B252-196B17DC5639}">
      <formula1>1000</formula1>
    </dataValidation>
    <dataValidation type="list" showInputMessage="1" prompt="Max. 5 Zeichen." sqref="A11:A110" xr:uid="{C9013633-B2AA-1349-845A-7E4D098257A6}">
      <formula1>WS3ExpertCodes</formula1>
    </dataValidation>
    <dataValidation type="list" showInputMessage="1" showErrorMessage="1" prompt="Max. 5 Zeichen." sqref="J11:J110" xr:uid="{00AECB5A-250B-2442-8777-908289D83A4E}">
      <formula1>HeaterExpertCodes</formula1>
    </dataValidation>
    <dataValidation type="textLength" operator="lessThanOrEqual" allowBlank="1" showInputMessage="1" showErrorMessage="1" prompt="Max. 250 Zeichen." sqref="B11:B111" xr:uid="{0CD27763-6E2A-FE4A-8144-EAED3EA01F09}">
      <formula1>250</formula1>
    </dataValidation>
    <dataValidation type="list" showErrorMessage="1" sqref="C11:C110" xr:uid="{45D25144-C668-4345-9866-12D25DBF15AD}">
      <formula1>WallType</formula1>
    </dataValidation>
    <dataValidation type="list" allowBlank="1" showErrorMessage="1" sqref="D11:D110" xr:uid="{045E1CB6-76AD-1147-857A-B8B50F96E832}">
      <formula1>Orientation</formula1>
    </dataValidation>
    <dataValidation type="list" allowBlank="1" showErrorMessage="1" sqref="P11:P110" xr:uid="{2CB2C970-629D-4144-ABD6-3B662D553DEA}">
      <formula1>CalculationBase_NoMeter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2173-D133-BD48-8F70-325FDF32E913}">
  <dimension ref="A1:T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3" customWidth="1"/>
    <col min="3" max="3" width="18.6640625" style="1" customWidth="1"/>
    <col min="4" max="4" width="11" style="1" customWidth="1"/>
    <col min="5" max="5" width="15.33203125" style="1" customWidth="1"/>
    <col min="6" max="6" width="14.83203125" style="1" customWidth="1"/>
    <col min="7" max="7" width="10.5" style="1" customWidth="1"/>
    <col min="8" max="8" width="10" style="1" customWidth="1"/>
    <col min="9" max="9" width="10.6640625" style="1" customWidth="1"/>
    <col min="10" max="10" width="11.83203125" style="1" customWidth="1"/>
    <col min="11" max="11" width="15.1640625" style="1" customWidth="1"/>
    <col min="12" max="12" width="15" style="1" customWidth="1"/>
    <col min="13" max="14" width="14.33203125" style="1" customWidth="1"/>
    <col min="15" max="17" width="16.6640625" style="1" customWidth="1"/>
    <col min="18" max="18" width="11" style="1" customWidth="1"/>
    <col min="19" max="19" width="21" style="1" customWidth="1"/>
    <col min="20" max="20" width="14" style="1" customWidth="1"/>
    <col min="21" max="16384" width="9.1640625" style="1"/>
  </cols>
  <sheetData>
    <row r="1" spans="1:20" ht="15" customHeight="1" thickBot="1" x14ac:dyDescent="0.2">
      <c r="A1" s="118" t="s">
        <v>106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 ht="15" customHeight="1" x14ac:dyDescent="0.15">
      <c r="D2" s="4"/>
      <c r="E2" s="4"/>
      <c r="F2" s="21"/>
      <c r="G2" s="21"/>
      <c r="H2" s="21"/>
      <c r="I2" s="4"/>
    </row>
    <row r="3" spans="1:20" ht="33" customHeight="1" x14ac:dyDescent="0.15">
      <c r="A3" s="168" t="s">
        <v>343</v>
      </c>
      <c r="B3" s="169"/>
      <c r="C3" s="157"/>
      <c r="D3" s="157"/>
      <c r="E3" s="157"/>
      <c r="F3" s="157"/>
      <c r="G3" s="21"/>
    </row>
    <row r="4" spans="1:20" ht="15" customHeight="1" x14ac:dyDescent="0.15">
      <c r="A4" s="159" t="s">
        <v>193</v>
      </c>
      <c r="B4" s="160"/>
      <c r="C4" s="157"/>
      <c r="D4" s="157"/>
      <c r="E4" s="157"/>
      <c r="F4" s="157"/>
      <c r="G4" s="21"/>
    </row>
    <row r="5" spans="1:20" ht="62.25" customHeight="1" x14ac:dyDescent="0.15">
      <c r="A5" s="155" t="s">
        <v>18</v>
      </c>
      <c r="B5" s="156"/>
      <c r="C5" s="157"/>
      <c r="D5" s="157"/>
      <c r="E5" s="157"/>
      <c r="F5" s="157"/>
      <c r="G5" s="21"/>
    </row>
    <row r="6" spans="1:20" ht="62.25" customHeight="1" x14ac:dyDescent="0.15">
      <c r="A6" s="155" t="s">
        <v>91</v>
      </c>
      <c r="B6" s="156"/>
      <c r="C6" s="157"/>
      <c r="D6" s="157"/>
      <c r="E6" s="157"/>
      <c r="F6" s="157"/>
      <c r="G6" s="21"/>
    </row>
    <row r="7" spans="1:20" ht="15" customHeight="1" x14ac:dyDescent="0.15">
      <c r="A7" s="159" t="s">
        <v>52</v>
      </c>
      <c r="B7" s="176"/>
      <c r="C7" s="37"/>
      <c r="D7" s="37"/>
      <c r="E7" s="37"/>
      <c r="F7" s="37"/>
      <c r="G7" s="21"/>
      <c r="H7" s="38"/>
      <c r="I7" s="38"/>
      <c r="J7" s="38"/>
      <c r="K7" s="38"/>
    </row>
    <row r="8" spans="1:20" ht="58.5" customHeight="1" x14ac:dyDescent="0.15">
      <c r="D8" s="4"/>
      <c r="E8" s="4"/>
      <c r="F8" s="21"/>
      <c r="G8" s="21"/>
      <c r="H8" s="21"/>
      <c r="I8" s="4"/>
    </row>
    <row r="9" spans="1:20" ht="34.5" customHeight="1" x14ac:dyDescent="0.15">
      <c r="A9" s="119" t="s">
        <v>16</v>
      </c>
      <c r="B9" s="119" t="s">
        <v>27</v>
      </c>
      <c r="C9" s="119" t="s">
        <v>21</v>
      </c>
      <c r="D9" s="119" t="s">
        <v>19</v>
      </c>
      <c r="E9" s="120" t="s">
        <v>349</v>
      </c>
      <c r="F9" s="119" t="s">
        <v>162</v>
      </c>
      <c r="G9" s="119" t="s">
        <v>350</v>
      </c>
      <c r="H9" s="119" t="s">
        <v>107</v>
      </c>
      <c r="I9" s="119" t="s">
        <v>120</v>
      </c>
      <c r="J9" s="119" t="s">
        <v>108</v>
      </c>
      <c r="K9" s="119" t="s">
        <v>109</v>
      </c>
      <c r="L9" s="119" t="s">
        <v>119</v>
      </c>
      <c r="M9" s="119" t="s">
        <v>111</v>
      </c>
      <c r="N9" s="119" t="s">
        <v>96</v>
      </c>
      <c r="O9" s="122" t="s">
        <v>351</v>
      </c>
      <c r="P9" s="122" t="s">
        <v>352</v>
      </c>
      <c r="Q9" s="119" t="s">
        <v>204</v>
      </c>
      <c r="R9" s="119" t="s">
        <v>205</v>
      </c>
      <c r="S9" s="119" t="s">
        <v>196</v>
      </c>
      <c r="T9" s="119" t="s">
        <v>197</v>
      </c>
    </row>
    <row r="10" spans="1:20" ht="15" customHeight="1" x14ac:dyDescent="0.15">
      <c r="D10" s="4"/>
      <c r="E10" s="84"/>
      <c r="F10" s="5"/>
      <c r="G10" s="21"/>
      <c r="H10" s="21"/>
      <c r="I10" s="4"/>
    </row>
    <row r="11" spans="1:20" ht="15" customHeight="1" x14ac:dyDescent="0.15">
      <c r="D11" s="4"/>
      <c r="E11" s="84"/>
      <c r="F11" s="5"/>
      <c r="G11" s="21"/>
      <c r="H11" s="21"/>
      <c r="I11" s="4"/>
    </row>
    <row r="12" spans="1:20" ht="15" customHeight="1" x14ac:dyDescent="0.15">
      <c r="D12" s="4"/>
      <c r="E12" s="84"/>
      <c r="F12" s="5"/>
      <c r="G12" s="21"/>
      <c r="H12" s="21"/>
      <c r="I12" s="4"/>
    </row>
    <row r="13" spans="1:20" ht="15" customHeight="1" x14ac:dyDescent="0.15">
      <c r="D13" s="4"/>
      <c r="E13" s="84"/>
      <c r="F13" s="5"/>
      <c r="G13" s="21"/>
      <c r="H13" s="21"/>
      <c r="I13" s="4"/>
    </row>
    <row r="14" spans="1:20" ht="15" customHeight="1" x14ac:dyDescent="0.15">
      <c r="D14" s="4"/>
      <c r="E14" s="84"/>
      <c r="F14" s="5"/>
      <c r="G14" s="21"/>
      <c r="H14" s="21"/>
      <c r="I14" s="4"/>
    </row>
    <row r="15" spans="1:20" ht="15" customHeight="1" x14ac:dyDescent="0.15">
      <c r="D15" s="4"/>
      <c r="E15" s="84"/>
      <c r="F15" s="5"/>
      <c r="G15" s="21"/>
      <c r="H15" s="21"/>
      <c r="I15" s="4"/>
    </row>
    <row r="16" spans="1:20" ht="15" customHeight="1" x14ac:dyDescent="0.15">
      <c r="D16" s="4"/>
      <c r="E16" s="84"/>
      <c r="F16" s="5"/>
      <c r="G16" s="21"/>
      <c r="H16" s="21"/>
      <c r="I16" s="4"/>
    </row>
    <row r="17" spans="4:9" ht="15" customHeight="1" x14ac:dyDescent="0.15">
      <c r="D17" s="4"/>
      <c r="E17" s="84"/>
      <c r="F17" s="5"/>
      <c r="G17" s="21"/>
      <c r="H17" s="21"/>
      <c r="I17" s="4"/>
    </row>
    <row r="18" spans="4:9" ht="15" customHeight="1" x14ac:dyDescent="0.15">
      <c r="D18" s="4"/>
      <c r="E18" s="84"/>
      <c r="F18" s="5"/>
      <c r="G18" s="21"/>
      <c r="H18" s="21"/>
      <c r="I18" s="4"/>
    </row>
    <row r="19" spans="4:9" ht="15" customHeight="1" x14ac:dyDescent="0.15">
      <c r="D19" s="4"/>
      <c r="E19" s="84"/>
      <c r="F19" s="5"/>
      <c r="G19" s="21"/>
      <c r="H19" s="21"/>
      <c r="I19" s="4"/>
    </row>
    <row r="20" spans="4:9" ht="15" customHeight="1" x14ac:dyDescent="0.15">
      <c r="D20" s="4"/>
      <c r="E20" s="84"/>
      <c r="F20" s="5"/>
      <c r="G20" s="21"/>
      <c r="H20" s="21"/>
      <c r="I20" s="4"/>
    </row>
    <row r="21" spans="4:9" ht="15" customHeight="1" x14ac:dyDescent="0.15">
      <c r="D21" s="4"/>
      <c r="E21" s="84"/>
      <c r="F21" s="5"/>
      <c r="G21" s="21"/>
      <c r="H21" s="21"/>
      <c r="I21" s="4"/>
    </row>
    <row r="22" spans="4:9" ht="15" customHeight="1" x14ac:dyDescent="0.15">
      <c r="D22" s="4"/>
      <c r="E22" s="84"/>
      <c r="F22" s="5"/>
      <c r="G22" s="21"/>
      <c r="H22" s="21"/>
      <c r="I22" s="4"/>
    </row>
    <row r="23" spans="4:9" ht="15" customHeight="1" x14ac:dyDescent="0.15">
      <c r="D23" s="4"/>
      <c r="E23" s="84"/>
      <c r="F23" s="5"/>
      <c r="G23" s="21"/>
      <c r="H23" s="21"/>
      <c r="I23" s="4"/>
    </row>
    <row r="24" spans="4:9" ht="15" customHeight="1" x14ac:dyDescent="0.15">
      <c r="D24" s="4"/>
      <c r="E24" s="84"/>
      <c r="F24" s="5"/>
      <c r="G24" s="21"/>
      <c r="H24" s="21"/>
      <c r="I24" s="4"/>
    </row>
  </sheetData>
  <mergeCells count="9">
    <mergeCell ref="A3:B3"/>
    <mergeCell ref="C3:F3"/>
    <mergeCell ref="A6:B6"/>
    <mergeCell ref="C6:F6"/>
    <mergeCell ref="A7:B7"/>
    <mergeCell ref="A4:B4"/>
    <mergeCell ref="C4:F4"/>
    <mergeCell ref="A5:B5"/>
    <mergeCell ref="C5:F5"/>
  </mergeCells>
  <conditionalFormatting sqref="C3">
    <cfRule type="containsBlanks" dxfId="38" priority="3">
      <formula>LEN(TRIM(C3))=0</formula>
    </cfRule>
  </conditionalFormatting>
  <conditionalFormatting sqref="C7">
    <cfRule type="containsBlanks" dxfId="37" priority="2">
      <formula>LEN(TRIM(C7))=0</formula>
    </cfRule>
  </conditionalFormatting>
  <conditionalFormatting sqref="A10:D109 F10:M109">
    <cfRule type="expression" dxfId="36" priority="1">
      <formula>AND(COUNTA($A10:$T10)&gt;0,ISBLANK(A10))</formula>
    </cfRule>
  </conditionalFormatting>
  <dataValidations count="11">
    <dataValidation type="list" showErrorMessage="1" sqref="C3" xr:uid="{258B72BC-8133-114B-831F-EA7FFAD447D1}">
      <formula1>GeneralCondition</formula1>
    </dataValidation>
    <dataValidation type="list" allowBlank="1" showErrorMessage="1" sqref="C4" xr:uid="{F51262A7-F08D-9F40-A898-6BDEF6913717}">
      <formula1>Prioritization</formula1>
    </dataValidation>
    <dataValidation type="textLength" operator="lessThanOrEqual" allowBlank="1" showInputMessage="1" showErrorMessage="1" prompt="Max. 1000 Zeichen." sqref="C5" xr:uid="{68D291C3-982E-7D4A-89DF-04624FB1ABF2}">
      <formula1>1000</formula1>
    </dataValidation>
    <dataValidation type="textLength" operator="lessThanOrEqual" allowBlank="1" showInputMessage="1" showErrorMessage="1" prompt="Max. 1000 Zeichen." sqref="C6" xr:uid="{8A8834B5-E060-2647-8284-7CC590A9FE81}">
      <formula1>1000</formula1>
    </dataValidation>
    <dataValidation type="list" showInputMessage="1" prompt="Max. 5 Zeichen." sqref="A10:A109" xr:uid="{4BCA32A5-9FEF-9D40-A928-456E8AA09549}">
      <formula1>WS4ExpertCodes</formula1>
    </dataValidation>
    <dataValidation type="list" showInputMessage="1" showErrorMessage="1" prompt="Max. 5 Zeichen." sqref="N10:N109" xr:uid="{17B6DF7D-EF93-B84F-BCAA-8B3082F59BE8}">
      <formula1>HeaterExpertCodes</formula1>
    </dataValidation>
    <dataValidation type="list" showErrorMessage="1" sqref="C10:C109" xr:uid="{A3978DB3-B085-274D-8113-F537ED611046}">
      <formula1>WallOpeningType</formula1>
    </dataValidation>
    <dataValidation type="list" showErrorMessage="1" sqref="D10:D109" xr:uid="{93132262-3640-674C-A66F-051FBB324035}">
      <formula1>OrientationH</formula1>
    </dataValidation>
    <dataValidation type="list" allowBlank="1" showErrorMessage="1" sqref="S10:S109" xr:uid="{2DEFE7A2-596F-4A44-B898-88BA09947B32}">
      <formula1>CalculationBase_NoMeter</formula1>
    </dataValidation>
    <dataValidation type="list" showInputMessage="1" showErrorMessage="1" prompt="Max. 5 Zeichen." sqref="M10:M109" xr:uid="{B70C3395-3224-D448-A9F9-D78C341C7F44}">
      <formula1>WallOpeningParentCodes</formula1>
    </dataValidation>
    <dataValidation type="textLength" operator="lessThanOrEqual" allowBlank="1" showInputMessage="1" showErrorMessage="1" prompt="Max. 250 Zeichen." sqref="B10:B110" xr:uid="{BAE69043-2627-A04A-85E2-7436F3ED34F9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F53A-6080-AA41-A2CE-7DA8B2C5D910}">
  <dimension ref="A1:P18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3" customWidth="1"/>
    <col min="3" max="4" width="18.6640625" style="1" customWidth="1"/>
    <col min="5" max="5" width="11" style="1" customWidth="1"/>
    <col min="6" max="6" width="14.83203125" style="1" customWidth="1"/>
    <col min="7" max="7" width="10.5" style="1" customWidth="1"/>
    <col min="8" max="8" width="11.1640625" style="1" customWidth="1"/>
    <col min="9" max="9" width="14.33203125" style="1" customWidth="1"/>
    <col min="10" max="11" width="16.83203125" style="1" customWidth="1"/>
    <col min="12" max="13" width="15" style="1" customWidth="1"/>
    <col min="14" max="14" width="11" style="1" customWidth="1"/>
    <col min="15" max="15" width="22" style="1" customWidth="1"/>
    <col min="16" max="16" width="13.5" style="1" customWidth="1"/>
    <col min="17" max="16384" width="9.1640625" style="1"/>
  </cols>
  <sheetData>
    <row r="1" spans="1:16" ht="15" customHeight="1" thickBot="1" x14ac:dyDescent="0.2">
      <c r="A1" s="118" t="s">
        <v>112</v>
      </c>
      <c r="B1" s="9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</row>
    <row r="2" spans="1:16" ht="15" customHeight="1" x14ac:dyDescent="0.15">
      <c r="E2" s="4"/>
      <c r="F2" s="21"/>
      <c r="G2" s="21"/>
      <c r="H2" s="21"/>
      <c r="I2" s="4"/>
    </row>
    <row r="3" spans="1:16" ht="15" customHeight="1" x14ac:dyDescent="0.15">
      <c r="A3" s="159" t="s">
        <v>81</v>
      </c>
      <c r="B3" s="162"/>
      <c r="C3" s="163"/>
      <c r="D3" s="164"/>
      <c r="E3" s="164"/>
      <c r="F3" s="165"/>
      <c r="G3" s="21"/>
      <c r="H3" s="21"/>
      <c r="I3" s="4"/>
    </row>
    <row r="4" spans="1:16" ht="15" customHeight="1" x14ac:dyDescent="0.15">
      <c r="C4" s="166" t="s">
        <v>114</v>
      </c>
      <c r="D4" s="167"/>
      <c r="E4" s="167"/>
      <c r="F4" s="167"/>
      <c r="G4" s="21"/>
      <c r="H4" s="170" t="s">
        <v>113</v>
      </c>
      <c r="I4" s="171"/>
      <c r="J4" s="171"/>
      <c r="K4" s="171"/>
    </row>
    <row r="5" spans="1:16" ht="33" customHeight="1" x14ac:dyDescent="0.15">
      <c r="A5" s="168" t="s">
        <v>343</v>
      </c>
      <c r="B5" s="169"/>
      <c r="C5" s="157"/>
      <c r="D5" s="157"/>
      <c r="E5" s="157"/>
      <c r="F5" s="157"/>
      <c r="G5" s="39"/>
      <c r="H5" s="158"/>
      <c r="I5" s="158"/>
      <c r="J5" s="158"/>
      <c r="K5" s="158"/>
    </row>
    <row r="6" spans="1:16" ht="15" customHeight="1" x14ac:dyDescent="0.15">
      <c r="A6" s="159" t="s">
        <v>193</v>
      </c>
      <c r="B6" s="160"/>
      <c r="C6" s="157"/>
      <c r="D6" s="157"/>
      <c r="E6" s="157"/>
      <c r="F6" s="157"/>
      <c r="G6" s="39"/>
      <c r="H6" s="158"/>
      <c r="I6" s="158"/>
      <c r="J6" s="158"/>
      <c r="K6" s="158"/>
    </row>
    <row r="7" spans="1:16" ht="62.25" customHeight="1" x14ac:dyDescent="0.15">
      <c r="A7" s="155" t="s">
        <v>18</v>
      </c>
      <c r="B7" s="156"/>
      <c r="C7" s="157"/>
      <c r="D7" s="157"/>
      <c r="E7" s="157"/>
      <c r="F7" s="157"/>
      <c r="G7" s="39"/>
      <c r="H7" s="158"/>
      <c r="I7" s="158"/>
      <c r="J7" s="158"/>
      <c r="K7" s="158"/>
    </row>
    <row r="8" spans="1:16" ht="62.25" customHeight="1" x14ac:dyDescent="0.15">
      <c r="A8" s="155" t="s">
        <v>91</v>
      </c>
      <c r="B8" s="156"/>
      <c r="C8" s="157"/>
      <c r="D8" s="157"/>
      <c r="E8" s="157"/>
      <c r="F8" s="157"/>
      <c r="G8" s="39"/>
      <c r="H8" s="158"/>
      <c r="I8" s="158"/>
      <c r="J8" s="158"/>
      <c r="K8" s="158"/>
    </row>
    <row r="9" spans="1:16" ht="21" customHeight="1" x14ac:dyDescent="0.15">
      <c r="E9" s="4"/>
      <c r="F9" s="21"/>
      <c r="G9" s="21"/>
      <c r="H9" s="21"/>
      <c r="I9" s="4"/>
    </row>
    <row r="10" spans="1:16" ht="34.5" customHeight="1" x14ac:dyDescent="0.15">
      <c r="A10" s="119" t="s">
        <v>16</v>
      </c>
      <c r="B10" s="119" t="s">
        <v>27</v>
      </c>
      <c r="C10" s="119" t="s">
        <v>21</v>
      </c>
      <c r="D10" s="120" t="s">
        <v>349</v>
      </c>
      <c r="E10" s="119" t="s">
        <v>162</v>
      </c>
      <c r="F10" s="119" t="s">
        <v>350</v>
      </c>
      <c r="G10" s="119" t="s">
        <v>120</v>
      </c>
      <c r="H10" s="119" t="s">
        <v>119</v>
      </c>
      <c r="I10" s="119" t="s">
        <v>96</v>
      </c>
      <c r="J10" s="123" t="s">
        <v>351</v>
      </c>
      <c r="K10" s="119" t="s">
        <v>352</v>
      </c>
      <c r="L10" s="119" t="s">
        <v>99</v>
      </c>
      <c r="M10" s="119" t="s">
        <v>204</v>
      </c>
      <c r="N10" s="119" t="s">
        <v>205</v>
      </c>
      <c r="O10" s="119" t="s">
        <v>196</v>
      </c>
      <c r="P10" s="119" t="s">
        <v>197</v>
      </c>
    </row>
    <row r="11" spans="1:16" ht="15" customHeight="1" x14ac:dyDescent="0.15">
      <c r="D11" s="84"/>
      <c r="E11" s="5"/>
      <c r="F11" s="21"/>
      <c r="G11" s="21"/>
      <c r="H11" s="21"/>
    </row>
    <row r="12" spans="1:16" ht="15" customHeight="1" x14ac:dyDescent="0.15">
      <c r="D12" s="84"/>
      <c r="E12" s="5"/>
      <c r="F12" s="21"/>
      <c r="G12" s="21"/>
      <c r="H12" s="21"/>
      <c r="I12" s="4"/>
    </row>
    <row r="13" spans="1:16" ht="15" customHeight="1" x14ac:dyDescent="0.15">
      <c r="D13" s="84"/>
      <c r="E13" s="5"/>
      <c r="F13" s="21"/>
      <c r="G13" s="21"/>
      <c r="H13" s="21"/>
      <c r="I13" s="4"/>
    </row>
    <row r="14" spans="1:16" ht="15" customHeight="1" x14ac:dyDescent="0.15">
      <c r="D14" s="84"/>
      <c r="E14" s="5"/>
      <c r="F14" s="21"/>
      <c r="G14" s="21"/>
      <c r="H14" s="21"/>
      <c r="I14" s="4"/>
    </row>
    <row r="15" spans="1:16" ht="15" customHeight="1" x14ac:dyDescent="0.15">
      <c r="D15" s="84"/>
      <c r="E15" s="5"/>
      <c r="F15" s="21"/>
      <c r="G15" s="21"/>
      <c r="H15" s="21"/>
      <c r="I15" s="4"/>
    </row>
    <row r="16" spans="1:16" ht="15" customHeight="1" x14ac:dyDescent="0.15">
      <c r="D16" s="84"/>
      <c r="E16" s="5"/>
      <c r="F16" s="21"/>
      <c r="G16" s="21"/>
      <c r="H16" s="21"/>
      <c r="I16" s="4"/>
    </row>
    <row r="17" spans="4:9" ht="15" customHeight="1" x14ac:dyDescent="0.15">
      <c r="D17" s="84"/>
      <c r="E17" s="5"/>
      <c r="F17" s="21"/>
      <c r="G17" s="21"/>
      <c r="H17" s="21"/>
      <c r="I17" s="4"/>
    </row>
    <row r="18" spans="4:9" ht="15" customHeight="1" x14ac:dyDescent="0.15">
      <c r="D18" s="84"/>
      <c r="E18" s="5"/>
      <c r="F18" s="21"/>
      <c r="G18" s="21"/>
      <c r="H18" s="21"/>
      <c r="I18" s="4"/>
    </row>
  </sheetData>
  <mergeCells count="17">
    <mergeCell ref="C1:P1"/>
    <mergeCell ref="A8:B8"/>
    <mergeCell ref="C8:F8"/>
    <mergeCell ref="H8:K8"/>
    <mergeCell ref="A6:B6"/>
    <mergeCell ref="C6:F6"/>
    <mergeCell ref="H6:K6"/>
    <mergeCell ref="A7:B7"/>
    <mergeCell ref="C7:F7"/>
    <mergeCell ref="H7:K7"/>
    <mergeCell ref="A3:B3"/>
    <mergeCell ref="C3:F3"/>
    <mergeCell ref="C4:F4"/>
    <mergeCell ref="H4:K4"/>
    <mergeCell ref="A5:B5"/>
    <mergeCell ref="C5:F5"/>
    <mergeCell ref="H5:K5"/>
  </mergeCells>
  <conditionalFormatting sqref="C3">
    <cfRule type="containsBlanks" dxfId="35" priority="7">
      <formula>LEN(TRIM(C3))=0</formula>
    </cfRule>
  </conditionalFormatting>
  <conditionalFormatting sqref="C4">
    <cfRule type="containsBlanks" dxfId="34" priority="6">
      <formula>LEN(TRIM(C4))=0</formula>
    </cfRule>
  </conditionalFormatting>
  <conditionalFormatting sqref="H4">
    <cfRule type="containsBlanks" dxfId="33" priority="5">
      <formula>LEN(TRIM(H4))=0</formula>
    </cfRule>
  </conditionalFormatting>
  <conditionalFormatting sqref="C5">
    <cfRule type="containsBlanks" dxfId="32" priority="4">
      <formula>LEN(TRIM(C5))=0</formula>
    </cfRule>
  </conditionalFormatting>
  <conditionalFormatting sqref="H5">
    <cfRule type="containsBlanks" dxfId="31" priority="3">
      <formula>LEN(TRIM(H5))=0</formula>
    </cfRule>
  </conditionalFormatting>
  <conditionalFormatting sqref="A11:C110 E11:H110">
    <cfRule type="expression" dxfId="30" priority="2">
      <formula>AND(COUNTA($A11:$P11)&gt;0,ISBLANK(A11))</formula>
    </cfRule>
  </conditionalFormatting>
  <conditionalFormatting sqref="A11:C110 E11:H110">
    <cfRule type="expression" dxfId="29" priority="1">
      <formula>AND(COUNTA($A11:$P11)&gt;0,ISBLANK(A11))</formula>
    </cfRule>
  </conditionalFormatting>
  <dataValidations count="14">
    <dataValidation type="list" showErrorMessage="1" sqref="C3" xr:uid="{BCB92EEC-5F89-3E45-9EF7-98B5F6522E81}">
      <formula1>BasementHeatingLevel</formula1>
    </dataValidation>
    <dataValidation type="list" showErrorMessage="1" sqref="C5" xr:uid="{C79EB843-B55D-1C41-903B-3FA1D2B5F72F}">
      <formula1>GeneralCondition</formula1>
    </dataValidation>
    <dataValidation type="list" showErrorMessage="1" sqref="H5" xr:uid="{6FD89BFA-C315-BB43-B804-7CC6F68FA0FE}">
      <formula1>GeneralCondition</formula1>
    </dataValidation>
    <dataValidation type="list" allowBlank="1" showErrorMessage="1" sqref="C6" xr:uid="{5F49E823-D870-8042-A7D6-DA3D2B65DDC5}">
      <formula1>Prioritization</formula1>
    </dataValidation>
    <dataValidation type="list" allowBlank="1" showErrorMessage="1" sqref="H6" xr:uid="{DD706C75-296E-2C42-A1AD-033EC0292BF3}">
      <formula1>Prioritization</formula1>
    </dataValidation>
    <dataValidation type="textLength" operator="lessThanOrEqual" allowBlank="1" showInputMessage="1" showErrorMessage="1" prompt="Max. 1000 Zeichen." sqref="C7" xr:uid="{E65643A6-7DF3-4343-AC0B-CFEB34813481}">
      <formula1>1000</formula1>
    </dataValidation>
    <dataValidation type="textLength" operator="lessThanOrEqual" allowBlank="1" showInputMessage="1" showErrorMessage="1" prompt="Max. 1000 Zeichen." sqref="H7" xr:uid="{78F482AC-0FF1-2F4F-8D92-B4474EE22E4C}">
      <formula1>1000</formula1>
    </dataValidation>
    <dataValidation type="textLength" operator="lessThanOrEqual" allowBlank="1" showInputMessage="1" showErrorMessage="1" prompt="Max. 1000 Zeichen." sqref="C8" xr:uid="{74631D54-005A-D948-A81F-B96FDF0C2D04}">
      <formula1>1000</formula1>
    </dataValidation>
    <dataValidation type="textLength" operator="lessThanOrEqual" allowBlank="1" showInputMessage="1" showErrorMessage="1" prompt="Max. 1000 Zeichen." sqref="H8" xr:uid="{349C5E05-C87C-EA40-91F2-DF73D6A13FC1}">
      <formula1>1000</formula1>
    </dataValidation>
    <dataValidation type="list" showInputMessage="1" prompt="Max. 5 Zeichen." sqref="A11:A110" xr:uid="{5CFC5CFC-E089-AA44-9E2E-DB8659F03209}">
      <formula1>WS5ExpertCodes</formula1>
    </dataValidation>
    <dataValidation type="list" showInputMessage="1" showErrorMessage="1" prompt="Max. 5 Zeichen." sqref="I11:I110" xr:uid="{F94523CB-1E9D-2847-9163-B213E832E342}">
      <formula1>HeaterExpertCodes</formula1>
    </dataValidation>
    <dataValidation type="list" showErrorMessage="1" sqref="C11:C110" xr:uid="{DF7F3AF7-ED05-7C42-AC71-72AF800A08F6}">
      <formula1>FloorType</formula1>
    </dataValidation>
    <dataValidation type="list" allowBlank="1" showErrorMessage="1" sqref="O11:O110" xr:uid="{DE8B8863-CAF1-F841-87AA-51DDC3FFB795}">
      <formula1>CalculationBase_NoMeter</formula1>
    </dataValidation>
    <dataValidation type="textLength" operator="lessThanOrEqual" allowBlank="1" showInputMessage="1" showErrorMessage="1" prompt="Max. 250 Zeichen." sqref="B11:B111" xr:uid="{2B93C76F-FB02-4842-B99E-3299680E30E0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0E63-1FB8-0247-B028-718DFE797256}">
  <dimension ref="A1:K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2" width="29.5" style="3" customWidth="1"/>
    <col min="3" max="4" width="18.6640625" style="1" customWidth="1"/>
    <col min="5" max="5" width="11" style="1" customWidth="1"/>
    <col min="6" max="6" width="14.83203125" style="1" customWidth="1"/>
    <col min="7" max="7" width="10.5" style="1" customWidth="1"/>
    <col min="8" max="8" width="10" style="1" customWidth="1"/>
    <col min="9" max="9" width="12.1640625" style="1" customWidth="1"/>
    <col min="10" max="10" width="15.83203125" style="1" customWidth="1"/>
    <col min="11" max="11" width="15.1640625" style="1" customWidth="1"/>
    <col min="12" max="12" width="15" style="1" customWidth="1"/>
    <col min="13" max="13" width="14.33203125" style="1" customWidth="1"/>
    <col min="14" max="14" width="15" style="1" customWidth="1"/>
    <col min="15" max="17" width="16.6640625" style="1" customWidth="1"/>
    <col min="18" max="16384" width="9.1640625" style="1"/>
  </cols>
  <sheetData>
    <row r="1" spans="1:11" ht="15" customHeight="1" thickBot="1" x14ac:dyDescent="0.2">
      <c r="A1" s="153" t="s">
        <v>115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1" ht="15" customHeight="1" x14ac:dyDescent="0.15">
      <c r="E2" s="4"/>
      <c r="F2" s="21"/>
      <c r="G2" s="21"/>
      <c r="H2" s="21"/>
      <c r="I2" s="4"/>
    </row>
    <row r="3" spans="1:11" ht="15" customHeight="1" x14ac:dyDescent="0.15">
      <c r="A3" s="159" t="s">
        <v>193</v>
      </c>
      <c r="B3" s="160"/>
      <c r="C3" s="157"/>
      <c r="D3" s="157"/>
      <c r="E3" s="157"/>
      <c r="F3" s="157"/>
      <c r="G3" s="21"/>
    </row>
    <row r="4" spans="1:11" ht="62.25" customHeight="1" x14ac:dyDescent="0.15">
      <c r="A4" s="155" t="s">
        <v>18</v>
      </c>
      <c r="B4" s="156"/>
      <c r="C4" s="157"/>
      <c r="D4" s="157"/>
      <c r="E4" s="157"/>
      <c r="F4" s="157"/>
      <c r="G4" s="21"/>
    </row>
    <row r="5" spans="1:11" ht="62.25" customHeight="1" x14ac:dyDescent="0.15">
      <c r="A5" s="155" t="s">
        <v>91</v>
      </c>
      <c r="B5" s="156"/>
      <c r="C5" s="157"/>
      <c r="D5" s="157"/>
      <c r="E5" s="157"/>
      <c r="F5" s="157"/>
      <c r="G5" s="21"/>
    </row>
    <row r="6" spans="1:11" ht="26.25" customHeight="1" x14ac:dyDescent="0.15">
      <c r="E6" s="4"/>
      <c r="F6" s="21"/>
      <c r="G6" s="21"/>
      <c r="H6" s="21"/>
      <c r="I6" s="4"/>
    </row>
    <row r="7" spans="1:11" ht="34.5" customHeight="1" x14ac:dyDescent="0.15">
      <c r="A7" s="119" t="s">
        <v>16</v>
      </c>
      <c r="B7" s="123" t="s">
        <v>27</v>
      </c>
      <c r="C7" s="123" t="s">
        <v>21</v>
      </c>
      <c r="D7" s="120" t="s">
        <v>349</v>
      </c>
      <c r="E7" s="123" t="s">
        <v>116</v>
      </c>
      <c r="F7" s="123" t="s">
        <v>117</v>
      </c>
      <c r="G7" s="123" t="s">
        <v>118</v>
      </c>
      <c r="H7" s="123" t="s">
        <v>119</v>
      </c>
      <c r="I7" s="119" t="s">
        <v>120</v>
      </c>
    </row>
    <row r="8" spans="1:11" ht="15" customHeight="1" x14ac:dyDescent="0.15">
      <c r="D8" s="84"/>
      <c r="E8" s="5"/>
      <c r="F8" s="21"/>
      <c r="G8" s="21"/>
      <c r="H8" s="21"/>
      <c r="I8" s="4"/>
    </row>
    <row r="9" spans="1:11" ht="15" customHeight="1" x14ac:dyDescent="0.15">
      <c r="D9" s="84"/>
      <c r="E9" s="5"/>
      <c r="F9" s="21"/>
      <c r="G9" s="21"/>
      <c r="H9" s="21"/>
      <c r="I9" s="4"/>
    </row>
    <row r="10" spans="1:11" ht="15" customHeight="1" x14ac:dyDescent="0.15">
      <c r="D10" s="84"/>
      <c r="E10" s="5"/>
      <c r="F10" s="21"/>
      <c r="G10" s="21"/>
      <c r="H10" s="21"/>
      <c r="I10" s="4"/>
    </row>
    <row r="11" spans="1:11" ht="15" customHeight="1" x14ac:dyDescent="0.15">
      <c r="D11" s="84"/>
      <c r="E11" s="5"/>
      <c r="F11" s="21"/>
      <c r="G11" s="21"/>
      <c r="H11" s="21"/>
      <c r="I11" s="4"/>
    </row>
    <row r="12" spans="1:11" ht="15" customHeight="1" x14ac:dyDescent="0.15">
      <c r="D12" s="84"/>
      <c r="E12" s="5"/>
      <c r="F12" s="21"/>
      <c r="G12" s="21"/>
      <c r="H12" s="21"/>
      <c r="I12" s="4"/>
    </row>
    <row r="13" spans="1:11" ht="15" customHeight="1" x14ac:dyDescent="0.15">
      <c r="D13" s="84"/>
      <c r="E13" s="5"/>
      <c r="F13" s="21"/>
      <c r="G13" s="21"/>
      <c r="H13" s="21"/>
      <c r="I13" s="4"/>
    </row>
    <row r="14" spans="1:11" ht="15" customHeight="1" x14ac:dyDescent="0.15">
      <c r="D14" s="84"/>
      <c r="E14" s="5"/>
      <c r="F14" s="21"/>
      <c r="G14" s="21"/>
      <c r="H14" s="21"/>
      <c r="I14" s="4"/>
    </row>
    <row r="15" spans="1:11" ht="15" customHeight="1" x14ac:dyDescent="0.15">
      <c r="D15" s="84"/>
      <c r="E15" s="5"/>
      <c r="F15" s="21"/>
      <c r="G15" s="21"/>
      <c r="H15" s="21"/>
      <c r="I15" s="4"/>
    </row>
    <row r="16" spans="1:11" ht="15" customHeight="1" x14ac:dyDescent="0.15">
      <c r="D16" s="84"/>
      <c r="E16" s="5"/>
      <c r="F16" s="21"/>
      <c r="G16" s="21"/>
      <c r="H16" s="21"/>
      <c r="I16" s="4"/>
    </row>
    <row r="17" spans="4:9" ht="15" customHeight="1" x14ac:dyDescent="0.15">
      <c r="D17" s="84"/>
      <c r="E17" s="5"/>
      <c r="F17" s="21"/>
      <c r="G17" s="21"/>
      <c r="H17" s="21"/>
      <c r="I17" s="4"/>
    </row>
    <row r="18" spans="4:9" ht="15" customHeight="1" x14ac:dyDescent="0.15">
      <c r="D18" s="84"/>
      <c r="E18" s="5"/>
      <c r="F18" s="21"/>
      <c r="G18" s="21"/>
      <c r="H18" s="21"/>
      <c r="I18" s="4"/>
    </row>
    <row r="19" spans="4:9" ht="15" customHeight="1" x14ac:dyDescent="0.15">
      <c r="D19" s="84"/>
      <c r="E19" s="5"/>
      <c r="F19" s="21"/>
      <c r="G19" s="21"/>
      <c r="H19" s="21"/>
      <c r="I19" s="4"/>
    </row>
    <row r="20" spans="4:9" ht="15" customHeight="1" x14ac:dyDescent="0.15">
      <c r="D20" s="84"/>
      <c r="E20" s="5"/>
      <c r="F20" s="21"/>
      <c r="G20" s="21"/>
      <c r="H20" s="21"/>
      <c r="I20" s="4"/>
    </row>
    <row r="21" spans="4:9" ht="15" customHeight="1" x14ac:dyDescent="0.15">
      <c r="D21" s="84"/>
      <c r="E21" s="5"/>
      <c r="F21" s="21"/>
      <c r="G21" s="21"/>
      <c r="H21" s="21"/>
      <c r="I21" s="4"/>
    </row>
    <row r="22" spans="4:9" ht="15" customHeight="1" x14ac:dyDescent="0.15">
      <c r="D22" s="84"/>
      <c r="E22" s="5"/>
      <c r="F22" s="21"/>
      <c r="G22" s="21"/>
      <c r="H22" s="21"/>
      <c r="I22" s="4"/>
    </row>
    <row r="23" spans="4:9" ht="15" customHeight="1" x14ac:dyDescent="0.15">
      <c r="D23" s="84"/>
      <c r="E23" s="5"/>
      <c r="F23" s="21"/>
      <c r="G23" s="21"/>
      <c r="H23" s="21"/>
      <c r="I23" s="4"/>
    </row>
    <row r="24" spans="4:9" ht="15" customHeight="1" x14ac:dyDescent="0.15">
      <c r="D24" s="84"/>
      <c r="E24" s="5"/>
      <c r="F24" s="21"/>
      <c r="G24" s="21"/>
      <c r="H24" s="21"/>
      <c r="I24" s="4"/>
    </row>
  </sheetData>
  <mergeCells count="7">
    <mergeCell ref="A5:B5"/>
    <mergeCell ref="C5:F5"/>
    <mergeCell ref="A1:K1"/>
    <mergeCell ref="A3:B3"/>
    <mergeCell ref="C3:F3"/>
    <mergeCell ref="A4:B4"/>
    <mergeCell ref="C4:F4"/>
  </mergeCells>
  <conditionalFormatting sqref="A8:I107">
    <cfRule type="expression" dxfId="28" priority="1">
      <formula>AND(COUNTA($A8:$I8)&gt;0,ISBLANK(A8))</formula>
    </cfRule>
  </conditionalFormatting>
  <dataValidations count="6">
    <dataValidation type="list" allowBlank="1" showErrorMessage="1" sqref="C3" xr:uid="{BD5EB4AC-7985-9B4E-8C3F-00214ACF5DE0}">
      <formula1>Prioritization</formula1>
    </dataValidation>
    <dataValidation type="textLength" operator="lessThanOrEqual" allowBlank="1" showInputMessage="1" showErrorMessage="1" prompt="Max. 1000 Zeichen." sqref="C4" xr:uid="{BD1DB2D1-1058-F043-A644-08B95E804AA5}">
      <formula1>1000</formula1>
    </dataValidation>
    <dataValidation type="textLength" operator="lessThanOrEqual" allowBlank="1" showInputMessage="1" showErrorMessage="1" prompt="Max. 1000 Zeichen." sqref="C5" xr:uid="{DD94B0D2-76FC-6348-B7C9-3F026D1711F5}">
      <formula1>1000</formula1>
    </dataValidation>
    <dataValidation type="list" showInputMessage="1" prompt="Max. 5 Zeichen." sqref="A8:A107" xr:uid="{0891CCF3-1A15-4B4A-8382-A99B80ACB003}">
      <formula1>WS6ExpertCodes</formula1>
    </dataValidation>
    <dataValidation type="list" showErrorMessage="1" sqref="C8:C107" xr:uid="{7B86FE41-6D6C-F345-8B2B-F422167D5BF3}">
      <formula1>ThermalBridgeType</formula1>
    </dataValidation>
    <dataValidation type="textLength" operator="lessThanOrEqual" allowBlank="1" showInputMessage="1" showErrorMessage="1" prompt="Max. 250 Zeichen." sqref="B8:B108" xr:uid="{FA378663-3DB0-5346-8C2B-C313B8B15021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93BB-5B0F-DB47-9355-627627937003}">
  <sheetPr codeName="Sheet7"/>
  <dimension ref="A1:Q14"/>
  <sheetViews>
    <sheetView zoomScaleNormal="100" workbookViewId="0"/>
  </sheetViews>
  <sheetFormatPr baseColWidth="10" defaultColWidth="9.1640625" defaultRowHeight="15" customHeight="1" x14ac:dyDescent="0.15"/>
  <cols>
    <col min="1" max="1" width="7.33203125" style="1" customWidth="1"/>
    <col min="2" max="2" width="16" style="1" customWidth="1"/>
    <col min="3" max="3" width="14.5" style="1" customWidth="1"/>
    <col min="4" max="4" width="16" style="1" customWidth="1"/>
    <col min="5" max="5" width="15.83203125" style="1" customWidth="1"/>
    <col min="6" max="6" width="19.5" style="1" customWidth="1"/>
    <col min="7" max="7" width="18.33203125" style="1" customWidth="1"/>
    <col min="8" max="8" width="14.1640625" style="1" customWidth="1"/>
    <col min="9" max="9" width="13.5" style="1" customWidth="1"/>
    <col min="10" max="10" width="10.1640625" style="1" customWidth="1"/>
    <col min="11" max="11" width="26.83203125" style="1" customWidth="1"/>
    <col min="12" max="12" width="19.33203125" style="1" customWidth="1"/>
    <col min="13" max="13" width="20" style="1" customWidth="1"/>
    <col min="14" max="14" width="18.1640625" style="1" customWidth="1"/>
    <col min="15" max="15" width="13.5" style="1" customWidth="1"/>
    <col min="16" max="16" width="20.1640625" style="1" bestFit="1" customWidth="1"/>
    <col min="17" max="17" width="13.5" style="1" customWidth="1"/>
    <col min="18" max="16384" width="9.1640625" style="1"/>
  </cols>
  <sheetData>
    <row r="1" spans="1:17" ht="15" customHeight="1" thickBot="1" x14ac:dyDescent="0.2">
      <c r="A1" s="177" t="s">
        <v>36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spans="1:17" ht="47.25" customHeight="1" x14ac:dyDescent="0.15"/>
    <row r="3" spans="1:17" s="40" customFormat="1" ht="44.25" customHeight="1" x14ac:dyDescent="0.2">
      <c r="A3" s="119" t="s">
        <v>16</v>
      </c>
      <c r="B3" s="121" t="s">
        <v>27</v>
      </c>
      <c r="C3" s="121" t="s">
        <v>28</v>
      </c>
      <c r="D3" s="121" t="s">
        <v>82</v>
      </c>
      <c r="E3" s="121" t="s">
        <v>83</v>
      </c>
      <c r="F3" s="121" t="s">
        <v>38</v>
      </c>
      <c r="G3" s="121" t="s">
        <v>21</v>
      </c>
      <c r="H3" s="121" t="s">
        <v>29</v>
      </c>
      <c r="I3" s="121" t="s">
        <v>37</v>
      </c>
      <c r="J3" s="121" t="s">
        <v>7</v>
      </c>
      <c r="K3" s="121" t="s">
        <v>22</v>
      </c>
      <c r="L3" s="121" t="s">
        <v>30</v>
      </c>
      <c r="M3" s="119" t="s">
        <v>201</v>
      </c>
      <c r="N3" s="119" t="s">
        <v>204</v>
      </c>
      <c r="O3" s="119" t="s">
        <v>205</v>
      </c>
      <c r="P3" s="119" t="s">
        <v>196</v>
      </c>
      <c r="Q3" s="119" t="s">
        <v>197</v>
      </c>
    </row>
    <row r="4" spans="1:17" s="29" customFormat="1" ht="15" customHeight="1" x14ac:dyDescent="0.15">
      <c r="A4" s="28"/>
      <c r="B4" s="26"/>
      <c r="C4" s="26"/>
      <c r="D4" s="80"/>
      <c r="E4" s="80"/>
      <c r="F4" s="31"/>
      <c r="G4" s="27"/>
      <c r="H4" s="27"/>
      <c r="I4" s="27"/>
      <c r="J4" s="27"/>
      <c r="K4" s="26"/>
      <c r="L4" s="26"/>
      <c r="M4" s="26"/>
    </row>
    <row r="5" spans="1:17" s="29" customFormat="1" ht="15" customHeight="1" x14ac:dyDescent="0.15">
      <c r="A5" s="28"/>
      <c r="B5" s="26"/>
      <c r="C5" s="26"/>
      <c r="D5" s="80"/>
      <c r="E5" s="80"/>
      <c r="F5" s="31"/>
      <c r="G5" s="27"/>
      <c r="H5" s="27"/>
      <c r="I5" s="27"/>
      <c r="J5" s="27"/>
      <c r="K5" s="26"/>
      <c r="L5" s="26"/>
      <c r="M5" s="26"/>
    </row>
    <row r="6" spans="1:17" s="29" customFormat="1" ht="15" customHeight="1" x14ac:dyDescent="0.15">
      <c r="A6" s="28"/>
      <c r="B6" s="26"/>
      <c r="C6" s="26"/>
      <c r="D6" s="80"/>
      <c r="E6" s="80"/>
      <c r="F6" s="31"/>
      <c r="G6" s="27"/>
      <c r="H6" s="27"/>
      <c r="I6" s="27"/>
      <c r="J6" s="27"/>
      <c r="K6" s="26"/>
      <c r="L6" s="26"/>
      <c r="M6" s="26"/>
    </row>
    <row r="7" spans="1:17" s="29" customFormat="1" ht="15" customHeight="1" x14ac:dyDescent="0.15">
      <c r="A7" s="28"/>
      <c r="B7" s="26"/>
      <c r="C7" s="26"/>
      <c r="D7" s="80"/>
      <c r="E7" s="80"/>
      <c r="F7" s="31"/>
      <c r="G7" s="27"/>
      <c r="H7" s="27"/>
      <c r="I7" s="27"/>
      <c r="J7" s="27"/>
      <c r="K7" s="26"/>
      <c r="L7" s="26"/>
      <c r="M7" s="26"/>
    </row>
    <row r="8" spans="1:17" s="29" customFormat="1" ht="15" customHeight="1" x14ac:dyDescent="0.15">
      <c r="D8" s="58"/>
      <c r="E8" s="58"/>
    </row>
    <row r="9" spans="1:17" s="29" customFormat="1" ht="15" customHeight="1" x14ac:dyDescent="0.15">
      <c r="D9" s="58"/>
      <c r="E9" s="58"/>
    </row>
    <row r="10" spans="1:17" s="29" customFormat="1" ht="15" customHeight="1" x14ac:dyDescent="0.15">
      <c r="D10" s="58"/>
      <c r="E10" s="58"/>
    </row>
    <row r="11" spans="1:17" s="29" customFormat="1" ht="15" customHeight="1" x14ac:dyDescent="0.15"/>
    <row r="12" spans="1:17" s="29" customFormat="1" ht="15" customHeight="1" x14ac:dyDescent="0.15"/>
    <row r="13" spans="1:17" s="29" customFormat="1" ht="15" customHeight="1" x14ac:dyDescent="0.15"/>
    <row r="14" spans="1:17" s="29" customFormat="1" ht="15" customHeight="1" x14ac:dyDescent="0.15"/>
  </sheetData>
  <mergeCells count="1">
    <mergeCell ref="A1:Q1"/>
  </mergeCells>
  <conditionalFormatting sqref="A4:M8">
    <cfRule type="expression" dxfId="27" priority="1">
      <formula>AND(COUNTA($A4:$Q4)&gt;0,ISBLANK(A4))</formula>
    </cfRule>
  </conditionalFormatting>
  <dataValidations count="10">
    <dataValidation type="list" showInputMessage="1" showErrorMessage="1" prompt="Max. 5 Zeichen." sqref="A4:A8" xr:uid="{B569C237-72A5-FA4E-8BFE-C7C7C9A0F567}">
      <formula1>HpExpertCodes</formula1>
    </dataValidation>
    <dataValidation type="list" showErrorMessage="1" sqref="C4:C8" xr:uid="{A2F9A1EF-D657-2D4B-A572-DF12E16F7AE5}">
      <formula1>EnergySources</formula1>
    </dataValidation>
    <dataValidation type="list" showErrorMessage="1" sqref="F4:F8" xr:uid="{C265BFBB-595F-BA4D-BC9F-40A8FBD5353D}">
      <formula1>HeatProducerOversize</formula1>
    </dataValidation>
    <dataValidation type="list" showInputMessage="1" showErrorMessage="1" prompt="Max. 5 Zeichen." sqref="G4:G8" xr:uid="{F191BE39-CF45-7C44-ABBF-BFC9ECD8180D}">
      <formula1>HeatProducerTypes</formula1>
    </dataValidation>
    <dataValidation type="list" showErrorMessage="1" sqref="H4:H8" xr:uid="{405DA5C2-BBE7-2A48-9DE2-7CC4DB05AA6F}">
      <formula1>SuppliedDistributionSystems</formula1>
    </dataValidation>
    <dataValidation type="list" showErrorMessage="1" sqref="I4:I8" xr:uid="{BD48C9B3-F992-9341-BABA-370BA587BF89}">
      <formula1>HeatingSupplyType</formula1>
    </dataValidation>
    <dataValidation type="list" showErrorMessage="1" sqref="K4:K8" xr:uid="{2B37DBB8-38E8-DF4A-8CB6-450E2C10D81F}">
      <formula1>HeatProducerCondition</formula1>
    </dataValidation>
    <dataValidation type="list" showErrorMessage="1" sqref="L4:L8" xr:uid="{2BEC206A-98DC-AF42-8487-EE8E8A7E5DF5}">
      <formula1>InOutThermalEnvelope</formula1>
    </dataValidation>
    <dataValidation type="list" allowBlank="1" showErrorMessage="1" sqref="P4:P103" xr:uid="{2E16D7BD-FF40-3B45-817B-ACCFF5F13B7B}">
      <formula1>CalculationBase_OnlyLump</formula1>
    </dataValidation>
    <dataValidation type="textLength" operator="lessThanOrEqual" allowBlank="1" showInputMessage="1" showErrorMessage="1" prompt="Max. 250 Zeichen." sqref="B4:B104" xr:uid="{A31359D8-8780-AF49-80D0-061481216500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2498-A8BB-894A-A309-5BB67D5F6CF3}">
  <dimension ref="A1:S14"/>
  <sheetViews>
    <sheetView zoomScaleNormal="100" workbookViewId="0"/>
  </sheetViews>
  <sheetFormatPr baseColWidth="10" defaultColWidth="9.1640625" defaultRowHeight="15" customHeight="1" x14ac:dyDescent="0.15"/>
  <cols>
    <col min="1" max="1" width="7.33203125" style="1" customWidth="1"/>
    <col min="2" max="2" width="16" style="1" customWidth="1"/>
    <col min="3" max="3" width="27.83203125" style="1" customWidth="1"/>
    <col min="4" max="6" width="26" style="1" customWidth="1"/>
    <col min="7" max="7" width="27.83203125" style="1" customWidth="1"/>
    <col min="8" max="8" width="25.6640625" style="1" customWidth="1"/>
    <col min="9" max="10" width="20.5" style="1" customWidth="1"/>
    <col min="11" max="15" width="6.83203125" style="1" customWidth="1"/>
    <col min="16" max="16" width="20" style="1" customWidth="1"/>
    <col min="17" max="17" width="9.6640625" style="1" customWidth="1"/>
    <col min="18" max="18" width="19.6640625" style="1" customWidth="1"/>
    <col min="19" max="19" width="17.5" style="1" customWidth="1"/>
    <col min="20" max="16384" width="9.1640625" style="1"/>
  </cols>
  <sheetData>
    <row r="1" spans="1:19" ht="15" customHeight="1" thickBot="1" x14ac:dyDescent="0.25">
      <c r="A1" s="126" t="s">
        <v>171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65"/>
      <c r="Q1" s="89"/>
      <c r="R1" s="89"/>
      <c r="S1" s="89"/>
    </row>
    <row r="2" spans="1:19" ht="47.25" customHeight="1" x14ac:dyDescent="0.15">
      <c r="K2" s="179"/>
      <c r="L2" s="180"/>
      <c r="M2" s="180"/>
      <c r="N2" s="180"/>
      <c r="O2" s="181"/>
    </row>
    <row r="3" spans="1:19" s="40" customFormat="1" ht="44.25" customHeight="1" x14ac:dyDescent="0.2">
      <c r="A3" s="119" t="s">
        <v>16</v>
      </c>
      <c r="B3" s="121" t="s">
        <v>27</v>
      </c>
      <c r="C3" s="121" t="s">
        <v>21</v>
      </c>
      <c r="D3" s="121" t="s">
        <v>172</v>
      </c>
      <c r="E3" s="121" t="s">
        <v>173</v>
      </c>
      <c r="F3" s="121" t="s">
        <v>184</v>
      </c>
      <c r="G3" s="121" t="s">
        <v>30</v>
      </c>
      <c r="H3" s="121" t="s">
        <v>174</v>
      </c>
      <c r="I3" s="121" t="s">
        <v>175</v>
      </c>
      <c r="J3" s="119" t="s">
        <v>201</v>
      </c>
      <c r="K3" s="121" t="s">
        <v>176</v>
      </c>
      <c r="L3" s="121" t="s">
        <v>177</v>
      </c>
      <c r="M3" s="121" t="s">
        <v>178</v>
      </c>
      <c r="N3" s="121" t="s">
        <v>179</v>
      </c>
      <c r="O3" s="121" t="s">
        <v>180</v>
      </c>
      <c r="P3" s="119" t="s">
        <v>204</v>
      </c>
      <c r="Q3" s="119" t="s">
        <v>205</v>
      </c>
      <c r="R3" s="119" t="s">
        <v>196</v>
      </c>
      <c r="S3" s="119" t="s">
        <v>197</v>
      </c>
    </row>
    <row r="4" spans="1:19" s="29" customFormat="1" ht="15" customHeight="1" x14ac:dyDescent="0.15">
      <c r="A4" s="28"/>
      <c r="B4" s="26"/>
      <c r="C4" s="26"/>
      <c r="D4" s="82"/>
      <c r="E4" s="82"/>
      <c r="F4" s="82"/>
      <c r="G4" s="27"/>
      <c r="H4" s="27"/>
      <c r="I4" s="81"/>
      <c r="J4" s="81"/>
      <c r="K4" s="27"/>
      <c r="L4" s="26"/>
      <c r="M4" s="26"/>
      <c r="N4" s="26"/>
      <c r="O4" s="26"/>
      <c r="P4" s="26"/>
    </row>
    <row r="5" spans="1:19" s="29" customFormat="1" ht="15" customHeight="1" x14ac:dyDescent="0.15">
      <c r="A5" s="28"/>
      <c r="B5" s="26"/>
      <c r="C5" s="26"/>
      <c r="D5" s="82"/>
      <c r="E5" s="82"/>
      <c r="F5" s="82"/>
      <c r="G5" s="27"/>
      <c r="H5" s="27"/>
      <c r="I5" s="81"/>
      <c r="J5" s="81"/>
      <c r="K5" s="27"/>
      <c r="L5" s="26"/>
      <c r="M5" s="26"/>
      <c r="N5" s="26"/>
      <c r="O5" s="26"/>
      <c r="P5" s="26"/>
    </row>
    <row r="6" spans="1:19" s="29" customFormat="1" ht="15" customHeight="1" x14ac:dyDescent="0.15">
      <c r="A6" s="28"/>
      <c r="B6" s="26"/>
      <c r="C6" s="26"/>
      <c r="D6" s="82"/>
      <c r="E6" s="82"/>
      <c r="F6" s="82"/>
      <c r="G6" s="27"/>
      <c r="H6" s="27"/>
      <c r="I6" s="81"/>
      <c r="J6" s="81"/>
      <c r="K6" s="27"/>
      <c r="L6" s="26"/>
      <c r="M6" s="26"/>
      <c r="N6" s="26"/>
      <c r="O6" s="26"/>
      <c r="P6" s="26"/>
    </row>
    <row r="7" spans="1:19" s="29" customFormat="1" ht="15" customHeight="1" x14ac:dyDescent="0.15">
      <c r="A7" s="28"/>
      <c r="B7" s="26"/>
      <c r="C7" s="26"/>
      <c r="D7" s="82"/>
      <c r="E7" s="82"/>
      <c r="F7" s="82"/>
      <c r="G7" s="27"/>
      <c r="H7" s="27"/>
      <c r="I7" s="81"/>
      <c r="J7" s="81"/>
      <c r="K7" s="27"/>
      <c r="L7" s="26"/>
      <c r="M7" s="26"/>
      <c r="N7" s="26"/>
      <c r="O7" s="26"/>
      <c r="P7" s="26"/>
    </row>
    <row r="8" spans="1:19" s="29" customFormat="1" ht="15" customHeight="1" x14ac:dyDescent="0.15">
      <c r="D8" s="4"/>
      <c r="E8" s="4"/>
      <c r="F8" s="4"/>
      <c r="I8" s="5"/>
      <c r="J8" s="5"/>
    </row>
    <row r="9" spans="1:19" s="29" customFormat="1" ht="15" customHeight="1" x14ac:dyDescent="0.15">
      <c r="D9" s="4"/>
      <c r="E9" s="4"/>
      <c r="F9" s="4"/>
      <c r="I9" s="5"/>
      <c r="J9" s="5"/>
    </row>
    <row r="10" spans="1:19" s="29" customFormat="1" ht="15" customHeight="1" x14ac:dyDescent="0.15">
      <c r="D10" s="4"/>
      <c r="E10" s="4"/>
      <c r="F10" s="4"/>
      <c r="I10" s="5"/>
      <c r="J10" s="5"/>
    </row>
    <row r="11" spans="1:19" s="29" customFormat="1" ht="15" customHeight="1" x14ac:dyDescent="0.15">
      <c r="D11" s="4"/>
      <c r="E11" s="4"/>
      <c r="F11" s="4"/>
      <c r="I11" s="5"/>
      <c r="J11" s="5"/>
    </row>
    <row r="12" spans="1:19" s="29" customFormat="1" ht="15" customHeight="1" x14ac:dyDescent="0.15">
      <c r="D12" s="4"/>
      <c r="E12" s="4"/>
      <c r="F12" s="4"/>
      <c r="I12" s="5"/>
      <c r="J12" s="5"/>
    </row>
    <row r="13" spans="1:19" s="29" customFormat="1" ht="15" customHeight="1" x14ac:dyDescent="0.15">
      <c r="D13" s="4"/>
      <c r="E13" s="4"/>
      <c r="F13" s="4"/>
      <c r="I13" s="5"/>
      <c r="J13" s="5"/>
    </row>
    <row r="14" spans="1:19" s="29" customFormat="1" ht="15" customHeight="1" x14ac:dyDescent="0.15">
      <c r="D14" s="4"/>
      <c r="E14" s="4"/>
      <c r="F14" s="4"/>
      <c r="I14" s="5"/>
      <c r="J14" s="5"/>
    </row>
  </sheetData>
  <mergeCells count="1">
    <mergeCell ref="K2:O2"/>
  </mergeCells>
  <conditionalFormatting sqref="A4:O13">
    <cfRule type="expression" dxfId="26" priority="1">
      <formula>AND(COUNTA($A4:$S4)&gt;0,ISBLANK(A4))</formula>
    </cfRule>
  </conditionalFormatting>
  <dataValidations count="11">
    <dataValidation type="list" showInputMessage="1" showErrorMessage="1" prompt="Max. 5 Zeichen." sqref="A4:A13" xr:uid="{B8D2D7E8-061C-034D-AC4B-5495D7228B23}">
      <formula1>SpExpertCodes</formula1>
    </dataValidation>
    <dataValidation type="list" showErrorMessage="1" sqref="C4:C13" xr:uid="{C31F7147-2CB8-4D44-A0CC-42C2FDFC63BC}">
      <formula1>ReservoirType</formula1>
    </dataValidation>
    <dataValidation type="list" showErrorMessage="1" sqref="K4:K13" xr:uid="{5682EDEA-47DE-A342-8FE0-4E09E338033D}">
      <formula1>HeizungsspeichervolumeninLiter</formula1>
    </dataValidation>
    <dataValidation type="list" showErrorMessage="1" sqref="L4:L13" xr:uid="{28BB2A2D-BE09-AD4D-891E-C69DA1BC73D3}">
      <formula1>HeizungsspeichervolumeninLiter</formula1>
    </dataValidation>
    <dataValidation type="list" showErrorMessage="1" sqref="M4:M13" xr:uid="{862A1B5B-DA0D-3644-8F19-9C85DD0F397A}">
      <formula1>HeizungsspeichervolumeninLiter</formula1>
    </dataValidation>
    <dataValidation type="list" showErrorMessage="1" sqref="N4:N13" xr:uid="{6901A999-3B52-2A47-91D9-7C450908C6F3}">
      <formula1>HeizungsspeichervolumeninLiter</formula1>
    </dataValidation>
    <dataValidation type="list" showErrorMessage="1" sqref="O4:O13" xr:uid="{66F64952-F396-9C41-AAC4-5983904DC7F8}">
      <formula1>HeizungsspeichervolumeninLiter</formula1>
    </dataValidation>
    <dataValidation type="list" showErrorMessage="1" sqref="G4:G13" xr:uid="{0AD76C87-5F4C-8B41-A53E-3A778E9905C0}">
      <formula1>InOutThermalEnvelope</formula1>
    </dataValidation>
    <dataValidation type="list" showErrorMessage="1" sqref="H4:H13" xr:uid="{C7C9D347-E7EB-C941-B981-E170B2394896}">
      <formula1>Quality</formula1>
    </dataValidation>
    <dataValidation type="list" allowBlank="1" showErrorMessage="1" sqref="R4:R103" xr:uid="{1409C6FD-EF48-9F4A-B055-DF3CBC2BC418}">
      <formula1>CalculationBase_OnlyLump</formula1>
    </dataValidation>
    <dataValidation type="textLength" operator="lessThanOrEqual" allowBlank="1" showInputMessage="1" showErrorMessage="1" prompt="Max. 250 Zeichen." sqref="B4:B104" xr:uid="{29045665-556C-C948-964F-D4AAF8FC6BEF}">
      <formula1>250</formula1>
    </dataValidation>
  </dataValidations>
  <pageMargins left="0.7" right="0.7" top="0.75" bottom="0.75" header="0.3" footer="0.3"/>
  <pageSetup paperSize="9" orientation="portrait" verticalDpi="300"/>
</worksheet>
</file>

<file path=xl/worksheets/sheet10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985F-BF82-A647-9922-41CD96E8C3EA}">
  <sheetPr codeName="Sheet9"/>
  <dimension ref="A1:V12"/>
  <sheetViews>
    <sheetView zoomScaleNormal="100" workbookViewId="0"/>
  </sheetViews>
  <sheetFormatPr baseColWidth="10" defaultColWidth="9.1640625" defaultRowHeight="15" customHeight="1" x14ac:dyDescent="0.15"/>
  <cols>
    <col min="1" max="1" width="7.5" style="1" customWidth="1"/>
    <col min="2" max="2" width="27.83203125" style="1" customWidth="1"/>
    <col min="3" max="3" width="9.83203125" style="1" customWidth="1"/>
    <col min="4" max="4" width="21.1640625" style="1" customWidth="1"/>
    <col min="5" max="5" width="13.6640625" style="1" customWidth="1"/>
    <col min="6" max="11" width="16.6640625" style="1" customWidth="1"/>
    <col min="12" max="12" width="14" style="1" customWidth="1"/>
    <col min="13" max="13" width="14.6640625" style="1" customWidth="1"/>
    <col min="14" max="14" width="16" style="1" customWidth="1"/>
    <col min="15" max="15" width="15" style="1" customWidth="1"/>
    <col min="16" max="16" width="12.83203125" style="1" customWidth="1"/>
    <col min="17" max="17" width="12" style="1" customWidth="1"/>
    <col min="18" max="18" width="17.1640625" style="1" customWidth="1"/>
    <col min="19" max="19" width="12.1640625" style="1" customWidth="1"/>
    <col min="20" max="20" width="19.5" style="1" customWidth="1"/>
    <col min="21" max="21" width="14.83203125" style="1" customWidth="1"/>
    <col min="22" max="22" width="21" style="1" customWidth="1"/>
    <col min="23" max="16384" width="9.1640625" style="1"/>
  </cols>
  <sheetData>
    <row r="1" spans="1:22" ht="15" customHeight="1" thickBot="1" x14ac:dyDescent="0.2">
      <c r="A1" s="188" t="s">
        <v>72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4"/>
      <c r="R1" s="185"/>
      <c r="S1" s="185"/>
      <c r="T1" s="185"/>
      <c r="U1" s="185"/>
      <c r="V1" s="185"/>
    </row>
    <row r="2" spans="1:22" ht="15" customHeight="1" x14ac:dyDescent="0.15">
      <c r="A2" s="20"/>
      <c r="B2" s="41"/>
      <c r="C2" s="20"/>
      <c r="D2" s="42"/>
      <c r="E2" s="25"/>
      <c r="F2" s="25"/>
      <c r="G2" s="25"/>
      <c r="H2" s="42"/>
      <c r="I2" s="20"/>
      <c r="J2" s="20"/>
      <c r="K2" s="20"/>
      <c r="L2" s="20"/>
      <c r="M2" s="20"/>
      <c r="N2" s="20"/>
      <c r="O2" s="20"/>
      <c r="P2" s="20"/>
      <c r="Q2" s="20"/>
    </row>
    <row r="3" spans="1:22" ht="15" customHeight="1" x14ac:dyDescent="0.15">
      <c r="A3" s="20"/>
      <c r="B3" s="41"/>
      <c r="C3" s="190" t="s">
        <v>121</v>
      </c>
      <c r="D3" s="191"/>
      <c r="E3" s="191"/>
      <c r="F3" s="25"/>
      <c r="G3" s="25"/>
      <c r="H3" s="42"/>
      <c r="I3" s="20"/>
      <c r="J3" s="20"/>
      <c r="K3" s="20"/>
      <c r="L3" s="20"/>
      <c r="M3" s="20"/>
      <c r="N3" s="20"/>
      <c r="O3" s="20"/>
      <c r="P3" s="20"/>
      <c r="Q3" s="20"/>
    </row>
    <row r="4" spans="1:22" ht="15" customHeight="1" x14ac:dyDescent="0.15">
      <c r="A4" s="168" t="s">
        <v>343</v>
      </c>
      <c r="B4" s="183"/>
      <c r="C4" s="182"/>
      <c r="D4" s="182"/>
      <c r="E4" s="182"/>
      <c r="F4" s="25"/>
      <c r="G4" s="25"/>
      <c r="H4" s="42"/>
      <c r="I4" s="20"/>
      <c r="J4" s="20"/>
      <c r="K4" s="20"/>
      <c r="L4" s="20"/>
      <c r="M4" s="20"/>
      <c r="N4" s="20"/>
      <c r="O4" s="20"/>
      <c r="P4" s="20"/>
      <c r="Q4" s="20"/>
    </row>
    <row r="5" spans="1:22" ht="15" customHeight="1" x14ac:dyDescent="0.15">
      <c r="A5" s="192" t="s">
        <v>193</v>
      </c>
      <c r="B5" s="193"/>
      <c r="C5" s="182"/>
      <c r="D5" s="182"/>
      <c r="E5" s="182"/>
      <c r="F5" s="25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22" ht="62.25" customHeight="1" x14ac:dyDescent="0.15">
      <c r="A6" s="186" t="s">
        <v>18</v>
      </c>
      <c r="B6" s="187"/>
      <c r="C6" s="182"/>
      <c r="D6" s="182"/>
      <c r="E6" s="182"/>
      <c r="F6" s="25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22" ht="62.25" customHeight="1" x14ac:dyDescent="0.15">
      <c r="A7" s="186" t="s">
        <v>91</v>
      </c>
      <c r="B7" s="187"/>
      <c r="C7" s="182"/>
      <c r="D7" s="182"/>
      <c r="E7" s="182"/>
      <c r="F7" s="25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22" ht="30.75" customHeight="1" x14ac:dyDescent="0.1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22" ht="37.5" customHeight="1" x14ac:dyDescent="0.15">
      <c r="A9" s="119" t="s">
        <v>16</v>
      </c>
      <c r="B9" s="127" t="s">
        <v>27</v>
      </c>
      <c r="C9" s="127" t="s">
        <v>162</v>
      </c>
      <c r="D9" s="127" t="s">
        <v>21</v>
      </c>
      <c r="E9" s="127" t="s">
        <v>37</v>
      </c>
      <c r="F9" s="127" t="s">
        <v>122</v>
      </c>
      <c r="G9" s="127" t="s">
        <v>123</v>
      </c>
      <c r="H9" s="127" t="s">
        <v>124</v>
      </c>
      <c r="I9" s="127" t="s">
        <v>125</v>
      </c>
      <c r="J9" s="127" t="s">
        <v>126</v>
      </c>
      <c r="K9" s="127" t="s">
        <v>181</v>
      </c>
      <c r="L9" s="127" t="s">
        <v>79</v>
      </c>
      <c r="M9" s="127" t="s">
        <v>127</v>
      </c>
      <c r="N9" s="127" t="s">
        <v>128</v>
      </c>
      <c r="O9" s="127" t="s">
        <v>129</v>
      </c>
      <c r="P9" s="119" t="s">
        <v>71</v>
      </c>
      <c r="Q9" s="119" t="s">
        <v>32</v>
      </c>
      <c r="R9" s="119" t="s">
        <v>204</v>
      </c>
      <c r="S9" s="119" t="s">
        <v>205</v>
      </c>
      <c r="T9" s="119" t="s">
        <v>196</v>
      </c>
      <c r="U9" s="119" t="s">
        <v>197</v>
      </c>
      <c r="V9" s="119" t="s">
        <v>201</v>
      </c>
    </row>
    <row r="10" spans="1:22" ht="15" customHeight="1" x14ac:dyDescent="0.15">
      <c r="A10" s="43"/>
      <c r="B10" s="44"/>
      <c r="C10" s="44"/>
      <c r="D10" s="44"/>
      <c r="E10" s="44"/>
      <c r="F10" s="45"/>
      <c r="G10" s="45"/>
      <c r="H10" s="45"/>
      <c r="I10" s="45"/>
      <c r="J10" s="46"/>
      <c r="K10" s="46"/>
      <c r="L10" s="44"/>
      <c r="M10" s="44"/>
      <c r="N10" s="44"/>
      <c r="O10" s="43"/>
      <c r="P10" s="43"/>
      <c r="Q10" s="43"/>
    </row>
    <row r="11" spans="1:22" ht="15" customHeight="1" x14ac:dyDescent="0.15">
      <c r="A11" s="47"/>
      <c r="B11" s="48"/>
      <c r="C11" s="48"/>
      <c r="D11" s="48"/>
      <c r="E11" s="48"/>
      <c r="F11" s="49"/>
      <c r="G11" s="49"/>
      <c r="H11" s="49"/>
      <c r="I11" s="49"/>
      <c r="J11" s="50"/>
      <c r="K11" s="50"/>
      <c r="L11" s="48"/>
      <c r="M11" s="48"/>
      <c r="N11" s="48"/>
      <c r="O11" s="51"/>
      <c r="P11" s="51"/>
      <c r="Q11" s="51"/>
    </row>
    <row r="12" spans="1:22" ht="15" customHeight="1" x14ac:dyDescent="0.15">
      <c r="A12" s="47"/>
      <c r="B12" s="48"/>
      <c r="C12" s="48"/>
      <c r="D12" s="48"/>
      <c r="E12" s="48"/>
      <c r="F12" s="49"/>
      <c r="G12" s="49"/>
      <c r="H12" s="49"/>
      <c r="I12" s="49"/>
      <c r="J12" s="50"/>
      <c r="K12" s="50"/>
      <c r="L12" s="48"/>
      <c r="M12" s="48"/>
      <c r="N12" s="48"/>
      <c r="O12" s="51"/>
      <c r="P12" s="51"/>
      <c r="Q12" s="51"/>
    </row>
  </sheetData>
  <mergeCells count="11">
    <mergeCell ref="A7:B7"/>
    <mergeCell ref="C7:E7"/>
    <mergeCell ref="A1:P1"/>
    <mergeCell ref="C3:E3"/>
    <mergeCell ref="A5:B5"/>
    <mergeCell ref="C5:E5"/>
    <mergeCell ref="A4:B4"/>
    <mergeCell ref="Q1:V1"/>
    <mergeCell ref="C4:E4"/>
    <mergeCell ref="A6:B6"/>
    <mergeCell ref="C6:E6"/>
  </mergeCells>
  <conditionalFormatting sqref="A10:Q12">
    <cfRule type="expression" dxfId="25" priority="3" stopIfTrue="1">
      <formula>AND(COUNTA($A10:$Q10)&gt;0,ISBLANK(A10))</formula>
    </cfRule>
  </conditionalFormatting>
  <conditionalFormatting sqref="C5">
    <cfRule type="expression" dxfId="24" priority="4" stopIfTrue="1">
      <formula>LEN(TRIM(C5))=0</formula>
    </cfRule>
  </conditionalFormatting>
  <conditionalFormatting sqref="C4">
    <cfRule type="containsBlanks" dxfId="23" priority="2">
      <formula>LEN(TRIM(C4))=0</formula>
    </cfRule>
  </conditionalFormatting>
  <conditionalFormatting sqref="A10:Q12 V10:V12">
    <cfRule type="expression" dxfId="22" priority="1">
      <formula>AND(COUNTA($A10:$V10)&gt;0,ISBLANK(A10))</formula>
    </cfRule>
  </conditionalFormatting>
  <dataValidations count="17">
    <dataValidation type="list" showInputMessage="1" showErrorMessage="1" sqref="P10:P12" xr:uid="{1BEFB3CE-69AA-6C44-AA32-7C6FEE59EED4}">
      <formula1>InOutThermalEnvelope</formula1>
    </dataValidation>
    <dataValidation type="list" showInputMessage="1" showErrorMessage="1" sqref="E10:E12" xr:uid="{7F421C50-B51C-CB46-BD8A-8E981B6C9EA3}">
      <formula1>HeatEmission</formula1>
    </dataValidation>
    <dataValidation type="list" showInputMessage="1" showErrorMessage="1" sqref="D10:D12" xr:uid="{8273AC25-EDAD-514D-BDDD-77738DB8279B}">
      <formula1>HeatingType</formula1>
    </dataValidation>
    <dataValidation type="list" showErrorMessage="1" sqref="C4" xr:uid="{5BC13550-5618-EF4C-A934-11F11E3CBC68}">
      <formula1>GeneralCondition</formula1>
    </dataValidation>
    <dataValidation type="list" allowBlank="1" showErrorMessage="1" sqref="C5" xr:uid="{924F6EDA-BCED-C147-A978-CA514C143D51}">
      <formula1>Prioritization</formula1>
    </dataValidation>
    <dataValidation type="textLength" operator="lessThanOrEqual" allowBlank="1" showInputMessage="1" showErrorMessage="1" prompt="Max. 1000 Zeichen." sqref="C6" xr:uid="{154B39E0-2AB6-F149-8DDD-1BBC5B102CA5}">
      <formula1>1000</formula1>
    </dataValidation>
    <dataValidation type="textLength" operator="lessThanOrEqual" allowBlank="1" showInputMessage="1" showErrorMessage="1" prompt="Max. 1000 Zeichen." sqref="C7" xr:uid="{B939F3ED-84DA-2641-933C-A27E607D1950}">
      <formula1>1000</formula1>
    </dataValidation>
    <dataValidation type="list" showInputMessage="1" prompt="Max. 5 Zeichen." sqref="A10:A109" xr:uid="{77528C99-2D2B-4848-B79F-898FE6B654F0}">
      <formula1>WS9ExpertCodes</formula1>
    </dataValidation>
    <dataValidation type="list" showErrorMessage="1" sqref="D10:D12" xr:uid="{A355E3E3-2B83-DF4B-96B8-70C693E3E4DA}">
      <formula1>HeatingType</formula1>
    </dataValidation>
    <dataValidation type="list" showErrorMessage="1" sqref="E10:E12" xr:uid="{A3A4B879-BB88-DB40-AA45-403846F4FF69}">
      <formula1>HeatEmission</formula1>
    </dataValidation>
    <dataValidation type="list" showErrorMessage="1" sqref="K10:K12" xr:uid="{82228D68-E200-564E-8B5F-E7401F68768D}">
      <formula1>ExpertCodes</formula1>
    </dataValidation>
    <dataValidation type="list" showErrorMessage="1" sqref="L10:L12" xr:uid="{8A2A38E7-5FE4-D840-9F10-43F813E18740}">
      <formula1>PartialBool</formula1>
    </dataValidation>
    <dataValidation type="list" showErrorMessage="1" sqref="O10:O12" xr:uid="{32B66C4B-6668-DE40-B6F9-DB58FB5E0791}">
      <formula1>HeatingFlows</formula1>
    </dataValidation>
    <dataValidation type="list" showErrorMessage="1" sqref="P10:P12" xr:uid="{47C72FC3-90EF-6649-AE8E-93139C3FCDD6}">
      <formula1>InOutThermalEnvelope</formula1>
    </dataValidation>
    <dataValidation type="list" showErrorMessage="1" sqref="Q10:Q12" xr:uid="{199CC65E-260B-564E-9193-1DBD94CD8D65}">
      <formula1>UnknownBool</formula1>
    </dataValidation>
    <dataValidation type="list" allowBlank="1" showErrorMessage="1" sqref="T10:T109" xr:uid="{C10444A4-777B-F648-A8AA-6736CEC6E367}">
      <formula1>CalculationBase_NoMeter</formula1>
    </dataValidation>
    <dataValidation type="textLength" operator="lessThanOrEqual" allowBlank="1" showInputMessage="1" showErrorMessage="1" prompt="Max. 250 Zeichen." sqref="B10:B110" xr:uid="{1DECB69D-04B5-084A-B721-F4CFE16603A6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47C9-7D54-6141-8219-E2BEB667256A}">
  <dimension ref="A1:S12"/>
  <sheetViews>
    <sheetView zoomScaleNormal="100" workbookViewId="0"/>
  </sheetViews>
  <sheetFormatPr baseColWidth="10" defaultColWidth="9.1640625" defaultRowHeight="15" customHeight="1" x14ac:dyDescent="0.15"/>
  <cols>
    <col min="1" max="1" width="7.5" style="1" customWidth="1"/>
    <col min="2" max="2" width="27.83203125" style="1" customWidth="1"/>
    <col min="3" max="3" width="9.83203125" style="1" customWidth="1"/>
    <col min="4" max="4" width="21.1640625" style="1" customWidth="1"/>
    <col min="5" max="9" width="16.6640625" style="1" customWidth="1"/>
    <col min="10" max="10" width="14" style="1" customWidth="1"/>
    <col min="11" max="11" width="14.6640625" style="1" customWidth="1"/>
    <col min="12" max="13" width="16" style="1" customWidth="1"/>
    <col min="14" max="14" width="12.83203125" style="1" customWidth="1"/>
    <col min="15" max="15" width="16.33203125" style="1" customWidth="1"/>
    <col min="16" max="16" width="11" style="1" customWidth="1"/>
    <col min="17" max="17" width="21.5" style="1" customWidth="1"/>
    <col min="18" max="18" width="18.1640625" style="1" customWidth="1"/>
    <col min="19" max="19" width="23.33203125" style="1" customWidth="1"/>
    <col min="20" max="16384" width="9.1640625" style="1"/>
  </cols>
  <sheetData>
    <row r="1" spans="1:19" ht="15" customHeight="1" thickBot="1" x14ac:dyDescent="0.2">
      <c r="A1" s="126" t="s">
        <v>73</v>
      </c>
      <c r="B1" s="88"/>
      <c r="C1" s="88"/>
      <c r="D1" s="88"/>
      <c r="E1" s="88"/>
      <c r="F1" s="88"/>
      <c r="G1" s="88"/>
      <c r="H1" s="88"/>
      <c r="I1" s="88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spans="1:19" ht="15" customHeight="1" x14ac:dyDescent="0.15">
      <c r="A2" s="20"/>
      <c r="B2" s="41"/>
      <c r="C2" s="20"/>
      <c r="D2" s="42"/>
      <c r="E2" s="25"/>
      <c r="F2" s="25"/>
      <c r="G2" s="42"/>
      <c r="H2" s="20"/>
      <c r="I2" s="20"/>
      <c r="J2" s="20"/>
      <c r="K2" s="20"/>
      <c r="L2" s="20"/>
      <c r="M2" s="20"/>
      <c r="N2" s="20"/>
    </row>
    <row r="3" spans="1:19" ht="15" customHeight="1" x14ac:dyDescent="0.15">
      <c r="A3" s="20"/>
      <c r="B3" s="41"/>
      <c r="C3" s="190" t="s">
        <v>92</v>
      </c>
      <c r="D3" s="191"/>
      <c r="E3" s="25"/>
      <c r="F3" s="25"/>
      <c r="G3" s="42"/>
      <c r="H3" s="20"/>
      <c r="I3" s="20"/>
      <c r="J3" s="20"/>
      <c r="K3" s="20"/>
      <c r="L3" s="20"/>
      <c r="M3" s="20"/>
      <c r="N3" s="20"/>
    </row>
    <row r="4" spans="1:19" ht="15" customHeight="1" x14ac:dyDescent="0.15">
      <c r="A4" s="168" t="s">
        <v>343</v>
      </c>
      <c r="B4" s="183"/>
      <c r="C4" s="182"/>
      <c r="D4" s="182"/>
      <c r="E4" s="25"/>
      <c r="F4" s="25"/>
      <c r="G4" s="42"/>
      <c r="H4" s="20"/>
      <c r="I4" s="20"/>
      <c r="J4" s="20"/>
      <c r="K4" s="20"/>
      <c r="L4" s="20"/>
      <c r="M4" s="20"/>
      <c r="N4" s="20"/>
    </row>
    <row r="5" spans="1:19" ht="15" customHeight="1" x14ac:dyDescent="0.15">
      <c r="A5" s="192" t="s">
        <v>193</v>
      </c>
      <c r="B5" s="193"/>
      <c r="C5" s="182"/>
      <c r="D5" s="182"/>
      <c r="E5" s="25"/>
      <c r="F5" s="20"/>
      <c r="G5" s="20"/>
      <c r="H5" s="20"/>
      <c r="I5" s="20"/>
      <c r="J5" s="20"/>
      <c r="K5" s="20"/>
      <c r="L5" s="20"/>
      <c r="M5" s="20"/>
      <c r="N5" s="20"/>
    </row>
    <row r="6" spans="1:19" ht="62.25" customHeight="1" x14ac:dyDescent="0.15">
      <c r="A6" s="186" t="s">
        <v>18</v>
      </c>
      <c r="B6" s="187"/>
      <c r="C6" s="182"/>
      <c r="D6" s="182"/>
      <c r="E6" s="25"/>
      <c r="F6" s="20"/>
      <c r="G6" s="20"/>
      <c r="H6" s="20"/>
      <c r="I6" s="20"/>
      <c r="J6" s="20"/>
      <c r="K6" s="20"/>
      <c r="L6" s="20"/>
      <c r="M6" s="20"/>
      <c r="N6" s="20"/>
    </row>
    <row r="7" spans="1:19" ht="62.25" customHeight="1" x14ac:dyDescent="0.15">
      <c r="A7" s="186" t="s">
        <v>91</v>
      </c>
      <c r="B7" s="187"/>
      <c r="C7" s="182"/>
      <c r="D7" s="182"/>
      <c r="E7" s="25"/>
      <c r="F7" s="20"/>
      <c r="G7" s="20"/>
      <c r="H7" s="20"/>
      <c r="I7" s="20"/>
      <c r="J7" s="20"/>
      <c r="K7" s="20"/>
      <c r="L7" s="20"/>
      <c r="M7" s="20"/>
      <c r="N7" s="20"/>
    </row>
    <row r="8" spans="1:19" ht="27" customHeight="1" x14ac:dyDescent="0.1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9" ht="37.5" customHeight="1" x14ac:dyDescent="0.15">
      <c r="A9" s="119" t="s">
        <v>16</v>
      </c>
      <c r="B9" s="127" t="s">
        <v>27</v>
      </c>
      <c r="C9" s="127" t="s">
        <v>162</v>
      </c>
      <c r="D9" s="127" t="s">
        <v>21</v>
      </c>
      <c r="E9" s="127" t="s">
        <v>122</v>
      </c>
      <c r="F9" s="127" t="s">
        <v>123</v>
      </c>
      <c r="G9" s="127" t="s">
        <v>124</v>
      </c>
      <c r="H9" s="127" t="s">
        <v>125</v>
      </c>
      <c r="I9" s="127" t="s">
        <v>126</v>
      </c>
      <c r="J9" s="127" t="s">
        <v>79</v>
      </c>
      <c r="K9" s="127" t="s">
        <v>127</v>
      </c>
      <c r="L9" s="127" t="s">
        <v>128</v>
      </c>
      <c r="M9" s="127" t="s">
        <v>170</v>
      </c>
      <c r="N9" s="119" t="s">
        <v>71</v>
      </c>
      <c r="O9" s="119" t="s">
        <v>204</v>
      </c>
      <c r="P9" s="119" t="s">
        <v>205</v>
      </c>
      <c r="Q9" s="119" t="s">
        <v>196</v>
      </c>
      <c r="R9" s="119" t="s">
        <v>197</v>
      </c>
      <c r="S9" s="119" t="s">
        <v>201</v>
      </c>
    </row>
    <row r="10" spans="1:19" ht="15" customHeight="1" x14ac:dyDescent="0.15">
      <c r="A10" s="47"/>
      <c r="B10" s="48"/>
      <c r="C10" s="48"/>
      <c r="D10" s="48"/>
      <c r="E10" s="49"/>
      <c r="F10" s="49"/>
      <c r="G10" s="49"/>
      <c r="H10" s="49"/>
      <c r="I10" s="50"/>
      <c r="J10" s="48"/>
      <c r="K10" s="48"/>
      <c r="L10" s="48"/>
      <c r="M10" s="48"/>
      <c r="N10" s="47"/>
    </row>
    <row r="11" spans="1:19" ht="15" customHeight="1" x14ac:dyDescent="0.15">
      <c r="A11" s="47"/>
      <c r="B11" s="48"/>
      <c r="C11" s="48"/>
      <c r="D11" s="48"/>
      <c r="E11" s="49"/>
      <c r="F11" s="49"/>
      <c r="G11" s="49"/>
      <c r="H11" s="49"/>
      <c r="I11" s="50"/>
      <c r="J11" s="48"/>
      <c r="K11" s="48"/>
      <c r="L11" s="48"/>
      <c r="M11" s="48"/>
      <c r="N11" s="51"/>
    </row>
    <row r="12" spans="1:19" ht="15" customHeight="1" x14ac:dyDescent="0.15">
      <c r="A12" s="47"/>
      <c r="B12" s="48"/>
      <c r="C12" s="48"/>
      <c r="D12" s="48"/>
      <c r="E12" s="49"/>
      <c r="F12" s="49"/>
      <c r="G12" s="49"/>
      <c r="H12" s="49"/>
      <c r="I12" s="50"/>
      <c r="J12" s="48"/>
      <c r="K12" s="48"/>
      <c r="L12" s="48"/>
      <c r="M12" s="48"/>
      <c r="N12" s="51"/>
    </row>
  </sheetData>
  <mergeCells count="9">
    <mergeCell ref="C4:D4"/>
    <mergeCell ref="A7:B7"/>
    <mergeCell ref="C7:D7"/>
    <mergeCell ref="C3:D3"/>
    <mergeCell ref="A5:B5"/>
    <mergeCell ref="C5:D5"/>
    <mergeCell ref="A6:B6"/>
    <mergeCell ref="C6:D6"/>
    <mergeCell ref="A4:B4"/>
  </mergeCells>
  <conditionalFormatting sqref="C5">
    <cfRule type="expression" dxfId="21" priority="11" stopIfTrue="1">
      <formula>LEN(TRIM(C5))=0</formula>
    </cfRule>
  </conditionalFormatting>
  <conditionalFormatting sqref="A10:N12">
    <cfRule type="expression" dxfId="20" priority="12" stopIfTrue="1">
      <formula>AND(COUNTA($A10:$N10)&gt;0,ISBLANK(A10))</formula>
    </cfRule>
  </conditionalFormatting>
  <conditionalFormatting sqref="C4">
    <cfRule type="containsBlanks" dxfId="19" priority="10">
      <formula>LEN(TRIM(C4))=0</formula>
    </cfRule>
  </conditionalFormatting>
  <conditionalFormatting sqref="A10:N12 S10:S12">
    <cfRule type="expression" dxfId="18" priority="2">
      <formula>AND(COUNTA($A10:$S10)&gt;0,ISBLANK(A10))</formula>
    </cfRule>
  </conditionalFormatting>
  <dataValidations count="14">
    <dataValidation type="list" showInputMessage="1" showErrorMessage="1" sqref="D10:D12" xr:uid="{69D0C07B-3C2A-F54B-BE10-3528AC1B9749}">
      <formula1>HeatingType</formula1>
    </dataValidation>
    <dataValidation type="list" showInputMessage="1" showErrorMessage="1" sqref="N10:N12" xr:uid="{78BF076F-5F92-B844-B588-746C34C83564}">
      <formula1>InOutThermalEnvelope</formula1>
    </dataValidation>
    <dataValidation type="list" showInputMessage="1" showErrorMessage="1" sqref="M10" xr:uid="{264BE174-B97E-2A4C-ACA3-47F8E87B85A1}">
      <formula1>WarmWaterWarmKeeping</formula1>
    </dataValidation>
    <dataValidation type="list" showErrorMessage="1" sqref="C4" xr:uid="{9E61718F-120D-CB47-9BB1-EAFE4AED7506}">
      <formula1>GeneralCondition</formula1>
    </dataValidation>
    <dataValidation type="list" allowBlank="1" showErrorMessage="1" sqref="C5" xr:uid="{3D73C73A-FB4C-9A47-978E-665823A0D15B}">
      <formula1>Prioritization</formula1>
    </dataValidation>
    <dataValidation type="textLength" operator="lessThanOrEqual" allowBlank="1" showInputMessage="1" showErrorMessage="1" prompt="Max. 1000 Zeichen." sqref="C6" xr:uid="{EAC56ECE-CA65-2F46-B7EA-C5196ACAD08F}">
      <formula1>1000</formula1>
    </dataValidation>
    <dataValidation type="textLength" operator="lessThanOrEqual" allowBlank="1" showInputMessage="1" showErrorMessage="1" prompt="Max. 1000 Zeichen." sqref="C7" xr:uid="{08DF68ED-4EE8-0642-9DC3-F9C5209988EA}">
      <formula1>1000</formula1>
    </dataValidation>
    <dataValidation type="list" showInputMessage="1" prompt="Max. 5 Zeichen." sqref="A10:A109" xr:uid="{89355112-19F9-4A48-AF5A-16DF0852F1D6}">
      <formula1>WS10ExpertCodes</formula1>
    </dataValidation>
    <dataValidation type="list" showErrorMessage="1" sqref="D10:D12" xr:uid="{9EE664AD-B652-664D-A108-AA07ED0DB02E}">
      <formula1>HeatingType</formula1>
    </dataValidation>
    <dataValidation type="list" showErrorMessage="1" sqref="J10:J12" xr:uid="{D9679D5A-F93D-844C-A7D3-1C3C0A2ED93C}">
      <formula1>PartialBool</formula1>
    </dataValidation>
    <dataValidation type="list" showErrorMessage="1" sqref="M10:M12" xr:uid="{E4B0F18B-D0C2-A942-B30C-139C8AB38D82}">
      <formula1>WarmWaterWarmKeeping</formula1>
    </dataValidation>
    <dataValidation type="list" showErrorMessage="1" sqref="N10:N12" xr:uid="{EE564180-334C-CB46-BAB0-3740B8379376}">
      <formula1>InOutThermalEnvelope</formula1>
    </dataValidation>
    <dataValidation type="list" showErrorMessage="1" sqref="Q10:Q12" xr:uid="{F0CE369C-084C-6F45-8147-C1CD454C7CCD}">
      <formula1>CalculationBase_NoMeter</formula1>
    </dataValidation>
    <dataValidation type="textLength" operator="lessThanOrEqual" allowBlank="1" showInputMessage="1" showErrorMessage="1" prompt="Max. 250 Zeichen." sqref="B10:B110" xr:uid="{44057910-F760-8646-9DDA-C44F6744D617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DB89-CA1C-AE41-951D-FF137B654DCE}">
  <sheetPr codeName="Sheet10"/>
  <dimension ref="A1:F8"/>
  <sheetViews>
    <sheetView zoomScaleNormal="100" workbookViewId="0"/>
  </sheetViews>
  <sheetFormatPr baseColWidth="10" defaultColWidth="9.1640625" defaultRowHeight="15" customHeight="1" x14ac:dyDescent="0.15"/>
  <cols>
    <col min="1" max="1" width="23.5" style="1" customWidth="1"/>
    <col min="2" max="2" width="19.1640625" style="1" bestFit="1" customWidth="1"/>
    <col min="3" max="3" width="21.6640625" style="1" customWidth="1"/>
    <col min="4" max="4" width="15.6640625" style="1" customWidth="1"/>
    <col min="5" max="5" width="20.6640625" style="1" customWidth="1"/>
    <col min="6" max="6" width="19.5" style="1" bestFit="1" customWidth="1"/>
    <col min="7" max="16384" width="9.1640625" style="1"/>
  </cols>
  <sheetData>
    <row r="1" spans="1:6" ht="15" customHeight="1" thickBot="1" x14ac:dyDescent="0.2">
      <c r="A1" s="194" t="s">
        <v>130</v>
      </c>
      <c r="B1" s="195"/>
      <c r="C1" s="195"/>
      <c r="D1" s="195"/>
      <c r="E1" s="196"/>
      <c r="F1" s="2"/>
    </row>
    <row r="2" spans="1:6" ht="15" customHeight="1" x14ac:dyDescent="0.15">
      <c r="F2" s="2"/>
    </row>
    <row r="3" spans="1:6" s="34" customFormat="1" ht="34.5" customHeight="1" x14ac:dyDescent="0.15">
      <c r="A3" s="125" t="s">
        <v>28</v>
      </c>
      <c r="B3" s="125" t="s">
        <v>64</v>
      </c>
      <c r="C3" s="125" t="s">
        <v>34</v>
      </c>
      <c r="D3" s="125" t="s">
        <v>39</v>
      </c>
      <c r="E3" s="125" t="s">
        <v>40</v>
      </c>
    </row>
    <row r="4" spans="1:6" ht="15" customHeight="1" x14ac:dyDescent="0.15">
      <c r="A4" s="2"/>
      <c r="B4" s="22"/>
      <c r="C4" s="2"/>
      <c r="D4" s="23"/>
      <c r="E4" s="23"/>
    </row>
    <row r="5" spans="1:6" ht="15" customHeight="1" x14ac:dyDescent="0.15">
      <c r="A5" s="2"/>
      <c r="B5" s="22"/>
      <c r="C5" s="2"/>
      <c r="D5" s="23"/>
      <c r="E5" s="23"/>
    </row>
    <row r="6" spans="1:6" ht="15" customHeight="1" x14ac:dyDescent="0.15">
      <c r="A6" s="2"/>
      <c r="B6" s="22"/>
      <c r="C6" s="2"/>
      <c r="D6" s="23"/>
      <c r="E6" s="23"/>
    </row>
    <row r="7" spans="1:6" ht="15" customHeight="1" x14ac:dyDescent="0.15">
      <c r="A7" s="2"/>
      <c r="B7" s="22"/>
      <c r="C7" s="2"/>
      <c r="D7" s="23"/>
      <c r="E7" s="23"/>
    </row>
    <row r="8" spans="1:6" ht="15" customHeight="1" x14ac:dyDescent="0.15">
      <c r="A8" s="2"/>
      <c r="B8" s="22"/>
      <c r="C8" s="2"/>
      <c r="D8" s="23"/>
      <c r="E8" s="23"/>
    </row>
  </sheetData>
  <mergeCells count="1">
    <mergeCell ref="A1:E1"/>
  </mergeCells>
  <conditionalFormatting sqref="A4:E8">
    <cfRule type="expression" dxfId="17" priority="1">
      <formula>AND(COUNTA($A4:$E4)&gt;0,ISBLANK(A4))</formula>
    </cfRule>
  </conditionalFormatting>
  <dataValidations count="2">
    <dataValidation type="list" showErrorMessage="1" sqref="A4:A8" xr:uid="{6FA4413A-5EA9-B84D-A2DA-6E20667467F2}">
      <formula1>EnergySources</formula1>
    </dataValidation>
    <dataValidation type="list" showErrorMessage="1" sqref="C4:C8" xr:uid="{F69DEC5F-633E-FE4B-B15A-7AF1D6F5DA68}">
      <formula1>HeatUnit</formula1>
    </dataValidation>
  </dataValidations>
  <pageMargins left="0.7" right="0.7" top="0.75" bottom="0.75" header="0.3" footer="0.3"/>
  <pageSetup paperSize="9" orientation="portrait" verticalDpi="300"/>
</worksheet>
</file>

<file path=xl/worksheets/sheet1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AF7E-6024-3949-BCB4-0863A3B3D657}">
  <sheetPr codeName="Sheet11"/>
  <dimension ref="A1:P25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2" width="30" style="1" customWidth="1"/>
    <col min="3" max="3" width="22.33203125" style="1" customWidth="1"/>
    <col min="4" max="4" width="31.83203125" style="1" customWidth="1"/>
    <col min="5" max="5" width="14.83203125" style="1" customWidth="1"/>
    <col min="6" max="6" width="16.83203125" style="1" customWidth="1"/>
    <col min="7" max="7" width="15.83203125" style="1" customWidth="1"/>
    <col min="8" max="10" width="9.6640625" style="1" customWidth="1"/>
    <col min="11" max="11" width="8.1640625" style="1" bestFit="1" customWidth="1"/>
    <col min="12" max="12" width="15.5" style="1" customWidth="1"/>
    <col min="13" max="13" width="18.33203125" style="1" customWidth="1"/>
    <col min="14" max="14" width="13.33203125" style="1" customWidth="1"/>
    <col min="15" max="15" width="21.83203125" style="1" customWidth="1"/>
    <col min="16" max="16" width="20.83203125" style="1" customWidth="1"/>
    <col min="17" max="16384" width="9.1640625" style="1"/>
  </cols>
  <sheetData>
    <row r="1" spans="1:16" s="197" customFormat="1" ht="15" customHeight="1" thickBot="1" x14ac:dyDescent="0.2">
      <c r="A1" s="177" t="s">
        <v>59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 ht="15" customHeight="1" x14ac:dyDescent="0.15">
      <c r="H2" s="24"/>
    </row>
    <row r="3" spans="1:16" ht="15" customHeight="1" x14ac:dyDescent="0.15">
      <c r="A3" s="168" t="s">
        <v>343</v>
      </c>
      <c r="B3" s="183"/>
      <c r="C3" s="182"/>
      <c r="D3" s="182"/>
      <c r="E3" s="182"/>
      <c r="H3" s="24"/>
    </row>
    <row r="4" spans="1:16" ht="15" customHeight="1" x14ac:dyDescent="0.15">
      <c r="A4" s="159" t="s">
        <v>193</v>
      </c>
      <c r="B4" s="207"/>
      <c r="C4" s="198"/>
      <c r="D4" s="199"/>
      <c r="E4" s="200"/>
      <c r="H4" s="24"/>
    </row>
    <row r="5" spans="1:16" ht="62.25" customHeight="1" x14ac:dyDescent="0.15">
      <c r="A5" s="155" t="s">
        <v>18</v>
      </c>
      <c r="B5" s="208"/>
      <c r="C5" s="201"/>
      <c r="D5" s="202"/>
      <c r="E5" s="203"/>
      <c r="H5" s="24"/>
    </row>
    <row r="6" spans="1:16" ht="62.25" customHeight="1" x14ac:dyDescent="0.15">
      <c r="A6" s="155" t="s">
        <v>91</v>
      </c>
      <c r="B6" s="208"/>
      <c r="C6" s="201"/>
      <c r="D6" s="202"/>
      <c r="E6" s="203"/>
      <c r="H6" s="24"/>
    </row>
    <row r="7" spans="1:16" ht="15" customHeight="1" x14ac:dyDescent="0.15">
      <c r="H7" s="24"/>
    </row>
    <row r="8" spans="1:16" ht="15" customHeight="1" x14ac:dyDescent="0.15">
      <c r="H8" s="204" t="s">
        <v>67</v>
      </c>
      <c r="I8" s="205"/>
      <c r="J8" s="206"/>
    </row>
    <row r="9" spans="1:16" s="34" customFormat="1" ht="34.5" customHeight="1" x14ac:dyDescent="0.15">
      <c r="A9" s="119" t="s">
        <v>16</v>
      </c>
      <c r="B9" s="128" t="s">
        <v>27</v>
      </c>
      <c r="C9" s="128" t="s">
        <v>161</v>
      </c>
      <c r="D9" s="128" t="s">
        <v>21</v>
      </c>
      <c r="E9" s="128" t="s">
        <v>53</v>
      </c>
      <c r="F9" s="128" t="s">
        <v>54</v>
      </c>
      <c r="G9" s="128" t="s">
        <v>201</v>
      </c>
      <c r="H9" s="128" t="s">
        <v>68</v>
      </c>
      <c r="I9" s="128" t="s">
        <v>69</v>
      </c>
      <c r="J9" s="128" t="s">
        <v>70</v>
      </c>
      <c r="K9" s="128" t="s">
        <v>119</v>
      </c>
      <c r="L9" s="128" t="s">
        <v>719</v>
      </c>
      <c r="M9" s="119" t="s">
        <v>204</v>
      </c>
      <c r="N9" s="119" t="s">
        <v>205</v>
      </c>
      <c r="O9" s="119" t="s">
        <v>196</v>
      </c>
      <c r="P9" s="119" t="s">
        <v>197</v>
      </c>
    </row>
    <row r="10" spans="1:16" ht="15" customHeight="1" x14ac:dyDescent="0.15">
      <c r="F10" s="21"/>
      <c r="G10" s="21"/>
      <c r="H10" s="24"/>
      <c r="I10" s="24"/>
      <c r="J10" s="24"/>
      <c r="K10" s="4"/>
    </row>
    <row r="11" spans="1:16" ht="15" customHeight="1" x14ac:dyDescent="0.15">
      <c r="F11" s="21"/>
      <c r="G11" s="21"/>
      <c r="H11" s="24"/>
      <c r="I11" s="24"/>
      <c r="J11" s="24"/>
      <c r="K11" s="4"/>
    </row>
    <row r="12" spans="1:16" ht="15" customHeight="1" x14ac:dyDescent="0.15">
      <c r="F12" s="21"/>
      <c r="G12" s="21"/>
      <c r="H12" s="24"/>
      <c r="I12" s="24"/>
      <c r="J12" s="24"/>
      <c r="K12" s="4"/>
    </row>
    <row r="13" spans="1:16" ht="15" customHeight="1" x14ac:dyDescent="0.15">
      <c r="F13" s="21"/>
      <c r="G13" s="21"/>
      <c r="H13" s="24"/>
      <c r="I13" s="24"/>
      <c r="J13" s="24"/>
      <c r="K13" s="4"/>
    </row>
    <row r="14" spans="1:16" ht="15" customHeight="1" x14ac:dyDescent="0.15">
      <c r="F14" s="21"/>
      <c r="G14" s="21"/>
      <c r="H14" s="24"/>
      <c r="I14" s="24"/>
      <c r="J14" s="24"/>
      <c r="K14" s="4"/>
    </row>
    <row r="15" spans="1:16" ht="15" customHeight="1" x14ac:dyDescent="0.15">
      <c r="F15" s="21"/>
      <c r="G15" s="21"/>
      <c r="H15" s="24"/>
      <c r="I15" s="24"/>
      <c r="J15" s="24"/>
      <c r="K15" s="4"/>
    </row>
    <row r="16" spans="1:16" ht="15" customHeight="1" x14ac:dyDescent="0.15">
      <c r="F16" s="21"/>
      <c r="G16" s="21"/>
      <c r="H16" s="24"/>
      <c r="I16" s="24"/>
      <c r="J16" s="24"/>
      <c r="K16" s="4"/>
    </row>
    <row r="17" spans="6:11" ht="15" customHeight="1" x14ac:dyDescent="0.15">
      <c r="F17" s="21"/>
      <c r="G17" s="21"/>
      <c r="H17" s="24"/>
      <c r="I17" s="24"/>
      <c r="J17" s="24"/>
      <c r="K17" s="4"/>
    </row>
    <row r="18" spans="6:11" ht="15" customHeight="1" x14ac:dyDescent="0.15">
      <c r="F18" s="21"/>
      <c r="G18" s="21"/>
      <c r="H18" s="24"/>
      <c r="I18" s="24"/>
      <c r="J18" s="24"/>
      <c r="K18" s="4"/>
    </row>
    <row r="19" spans="6:11" ht="15" customHeight="1" x14ac:dyDescent="0.15">
      <c r="F19" s="21"/>
      <c r="G19" s="21"/>
      <c r="H19" s="24"/>
      <c r="I19" s="24"/>
      <c r="J19" s="24"/>
      <c r="K19" s="4"/>
    </row>
    <row r="20" spans="6:11" ht="15" customHeight="1" x14ac:dyDescent="0.15">
      <c r="F20" s="21"/>
      <c r="G20" s="21"/>
      <c r="H20" s="24"/>
      <c r="I20" s="24"/>
      <c r="J20" s="24"/>
      <c r="K20" s="4"/>
    </row>
    <row r="21" spans="6:11" ht="15" customHeight="1" x14ac:dyDescent="0.15">
      <c r="F21" s="21"/>
      <c r="G21" s="21"/>
      <c r="H21" s="24"/>
      <c r="I21" s="24"/>
      <c r="J21" s="24"/>
      <c r="K21" s="4"/>
    </row>
    <row r="22" spans="6:11" ht="15" customHeight="1" x14ac:dyDescent="0.15">
      <c r="F22" s="21"/>
      <c r="G22" s="21"/>
      <c r="H22" s="24"/>
      <c r="I22" s="24"/>
      <c r="J22" s="24"/>
      <c r="K22" s="4"/>
    </row>
    <row r="23" spans="6:11" ht="15" customHeight="1" x14ac:dyDescent="0.15">
      <c r="F23" s="21"/>
      <c r="G23" s="21"/>
      <c r="H23" s="24"/>
      <c r="I23" s="24"/>
      <c r="J23" s="24"/>
      <c r="K23" s="4"/>
    </row>
    <row r="24" spans="6:11" ht="15" customHeight="1" x14ac:dyDescent="0.15">
      <c r="F24" s="21"/>
      <c r="G24" s="21"/>
      <c r="H24" s="24"/>
      <c r="I24" s="24"/>
      <c r="J24" s="24"/>
      <c r="K24" s="4"/>
    </row>
    <row r="25" spans="6:11" ht="15" customHeight="1" x14ac:dyDescent="0.15">
      <c r="F25" s="21"/>
      <c r="G25" s="21"/>
      <c r="H25" s="24"/>
      <c r="I25" s="24"/>
      <c r="J25" s="24"/>
      <c r="K25" s="4"/>
    </row>
  </sheetData>
  <mergeCells count="10">
    <mergeCell ref="A1:XFD1"/>
    <mergeCell ref="C3:E3"/>
    <mergeCell ref="C4:E4"/>
    <mergeCell ref="C5:E5"/>
    <mergeCell ref="C6:E6"/>
    <mergeCell ref="H8:J8"/>
    <mergeCell ref="A4:B4"/>
    <mergeCell ref="A5:B5"/>
    <mergeCell ref="A6:B6"/>
    <mergeCell ref="A3:B3"/>
  </mergeCells>
  <conditionalFormatting sqref="C3">
    <cfRule type="containsBlanks" dxfId="16" priority="2">
      <formula>LEN(TRIM(C3))=0</formula>
    </cfRule>
  </conditionalFormatting>
  <conditionalFormatting sqref="A10:L109">
    <cfRule type="expression" dxfId="15" priority="1">
      <formula>AND(COUNTA($A10:$P10)&gt;0,ISBLANK(A10))</formula>
    </cfRule>
  </conditionalFormatting>
  <dataValidations count="12">
    <dataValidation type="textLength" operator="lessThan" allowBlank="1" showInputMessage="1" showErrorMessage="1" prompt="Max. 220 Zeichen. BItte ohne Sonderzeichen wie  ;  /  " sqref="F6" xr:uid="{9787C520-AEDC-134D-8457-B8A3F9288DCD}">
      <formula1>220</formula1>
    </dataValidation>
    <dataValidation type="list" showErrorMessage="1" sqref="C3" xr:uid="{C9EAD6D5-8D1E-7C4F-9675-4681F13D3B8B}">
      <formula1>GeneralCondition</formula1>
    </dataValidation>
    <dataValidation type="list" allowBlank="1" showErrorMessage="1" sqref="C4" xr:uid="{78EC719F-0D1B-5844-8D3A-926CFB97884B}">
      <formula1>Prioritization</formula1>
    </dataValidation>
    <dataValidation type="textLength" operator="lessThanOrEqual" allowBlank="1" showInputMessage="1" showErrorMessage="1" prompt="Max. 1000 Zeichen." sqref="C5" xr:uid="{8D4F37DD-8ABD-E341-A7C2-C1C0EFF94208}">
      <formula1>1000</formula1>
    </dataValidation>
    <dataValidation type="textLength" operator="lessThanOrEqual" allowBlank="1" showInputMessage="1" showErrorMessage="1" prompt="Max. 1000 Zeichen." sqref="C6" xr:uid="{BA033BD6-D323-814D-977F-92A5E787572C}">
      <formula1>1000</formula1>
    </dataValidation>
    <dataValidation type="list" showInputMessage="1" prompt="Max. 5 Zeichen." sqref="A10:A109" xr:uid="{F606F4F8-715F-934E-AB4B-6F7178575921}">
      <formula1>WS12ExpertCodes</formula1>
    </dataValidation>
    <dataValidation type="list" showErrorMessage="1" sqref="C10:C100" xr:uid="{C2F6C028-44EC-0844-AEF2-D5C44DF46C94}">
      <formula1>BuildingUsageTypeSelection</formula1>
    </dataValidation>
    <dataValidation type="list" showErrorMessage="1" sqref="D10:D100" xr:uid="{DD5B4119-1AD5-9943-81DE-6045415F834B}">
      <formula1>Devices</formula1>
    </dataValidation>
    <dataValidation type="list" showErrorMessage="1" sqref="E10:E109" xr:uid="{7105533D-3803-2148-8D34-B5B58529BC44}">
      <formula1>DeviceQuality</formula1>
    </dataValidation>
    <dataValidation type="list" showErrorMessage="1" sqref="L10:L109" xr:uid="{0FFAC1FA-9A78-F54C-A2C2-A7B85882B620}">
      <formula1>Boolean</formula1>
    </dataValidation>
    <dataValidation type="list" allowBlank="1" showErrorMessage="1" sqref="O10:O109" xr:uid="{2D49FA06-12F5-1D49-946C-9154ECED0B9F}">
      <formula1>CalculationBase_NoMeter</formula1>
    </dataValidation>
    <dataValidation type="textLength" operator="lessThanOrEqual" allowBlank="1" showInputMessage="1" showErrorMessage="1" prompt="Max. 250 Zeichen." sqref="B10:B110" xr:uid="{A3D657C2-CDE8-2444-AF10-CA5EB28388CE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BF31-55E6-6B48-9F8A-ED349AC8855E}">
  <dimension ref="A1:O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0.5" style="1" customWidth="1"/>
    <col min="6" max="6" width="14.83203125" style="1" customWidth="1"/>
    <col min="7" max="7" width="15.83203125" style="1" customWidth="1"/>
    <col min="8" max="10" width="9.6640625" style="1" customWidth="1"/>
    <col min="11" max="12" width="15.5" style="1" customWidth="1"/>
    <col min="13" max="13" width="12.33203125" style="1" customWidth="1"/>
    <col min="14" max="14" width="19.5" style="1" customWidth="1"/>
    <col min="15" max="15" width="15" style="1" customWidth="1"/>
    <col min="16" max="16384" width="9.1640625" style="1"/>
  </cols>
  <sheetData>
    <row r="1" spans="1:15" s="197" customFormat="1" ht="15" customHeight="1" thickBot="1" x14ac:dyDescent="0.2">
      <c r="A1" s="177" t="s">
        <v>133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</row>
    <row r="2" spans="1:15" ht="15" customHeight="1" x14ac:dyDescent="0.15">
      <c r="H2" s="24"/>
    </row>
    <row r="3" spans="1:15" ht="37.5" customHeight="1" x14ac:dyDescent="0.15">
      <c r="A3" s="52"/>
      <c r="H3" s="209" t="s">
        <v>67</v>
      </c>
      <c r="I3" s="205"/>
      <c r="J3" s="206"/>
    </row>
    <row r="4" spans="1:15" s="34" customFormat="1" ht="34.5" customHeight="1" x14ac:dyDescent="0.15">
      <c r="A4" s="119" t="s">
        <v>16</v>
      </c>
      <c r="B4" s="128" t="s">
        <v>27</v>
      </c>
      <c r="C4" s="128" t="s">
        <v>161</v>
      </c>
      <c r="D4" s="128" t="s">
        <v>21</v>
      </c>
      <c r="E4" s="128" t="s">
        <v>162</v>
      </c>
      <c r="F4" s="128" t="s">
        <v>56</v>
      </c>
      <c r="G4" s="128" t="s">
        <v>201</v>
      </c>
      <c r="H4" s="128" t="s">
        <v>68</v>
      </c>
      <c r="I4" s="128" t="s">
        <v>69</v>
      </c>
      <c r="J4" s="128" t="s">
        <v>70</v>
      </c>
      <c r="K4" s="128" t="s">
        <v>719</v>
      </c>
      <c r="L4" s="119" t="s">
        <v>204</v>
      </c>
      <c r="M4" s="119" t="s">
        <v>205</v>
      </c>
      <c r="N4" s="119" t="s">
        <v>196</v>
      </c>
      <c r="O4" s="119" t="s">
        <v>197</v>
      </c>
    </row>
    <row r="5" spans="1:15" ht="15" customHeight="1" x14ac:dyDescent="0.15">
      <c r="G5" s="21"/>
      <c r="H5" s="24"/>
      <c r="I5" s="24"/>
      <c r="J5" s="24"/>
    </row>
    <row r="6" spans="1:15" ht="15" customHeight="1" x14ac:dyDescent="0.15">
      <c r="G6" s="21"/>
      <c r="H6" s="24"/>
      <c r="I6" s="24"/>
      <c r="J6" s="24"/>
    </row>
    <row r="7" spans="1:15" ht="15" customHeight="1" x14ac:dyDescent="0.15">
      <c r="G7" s="21"/>
      <c r="H7" s="24"/>
      <c r="I7" s="24"/>
      <c r="J7" s="24"/>
    </row>
    <row r="8" spans="1:15" ht="15" customHeight="1" x14ac:dyDescent="0.15">
      <c r="G8" s="21"/>
      <c r="H8" s="24"/>
      <c r="I8" s="24"/>
      <c r="J8" s="24"/>
    </row>
    <row r="9" spans="1:15" ht="15" customHeight="1" x14ac:dyDescent="0.15">
      <c r="G9" s="21"/>
      <c r="H9" s="24"/>
      <c r="I9" s="24"/>
      <c r="J9" s="24"/>
    </row>
    <row r="10" spans="1:15" ht="15" customHeight="1" x14ac:dyDescent="0.15">
      <c r="G10" s="21"/>
      <c r="H10" s="24"/>
      <c r="I10" s="24"/>
      <c r="J10" s="24"/>
    </row>
    <row r="11" spans="1:15" ht="15" customHeight="1" x14ac:dyDescent="0.15">
      <c r="G11" s="21"/>
      <c r="H11" s="24"/>
      <c r="I11" s="24"/>
      <c r="J11" s="24"/>
    </row>
    <row r="12" spans="1:15" ht="15" customHeight="1" x14ac:dyDescent="0.15">
      <c r="G12" s="21"/>
      <c r="H12" s="24"/>
      <c r="I12" s="24"/>
      <c r="J12" s="24"/>
    </row>
    <row r="13" spans="1:15" ht="15" customHeight="1" x14ac:dyDescent="0.15">
      <c r="G13" s="21"/>
      <c r="H13" s="24"/>
      <c r="I13" s="24"/>
      <c r="J13" s="24"/>
    </row>
    <row r="14" spans="1:15" ht="15" customHeight="1" x14ac:dyDescent="0.15">
      <c r="G14" s="21"/>
      <c r="H14" s="24"/>
      <c r="I14" s="24"/>
      <c r="J14" s="24"/>
    </row>
    <row r="15" spans="1:15" ht="15" customHeight="1" x14ac:dyDescent="0.15">
      <c r="G15" s="21"/>
      <c r="H15" s="24"/>
      <c r="I15" s="24"/>
      <c r="J15" s="24"/>
    </row>
    <row r="16" spans="1:15" ht="15" customHeight="1" x14ac:dyDescent="0.15">
      <c r="G16" s="21"/>
      <c r="H16" s="24"/>
      <c r="I16" s="24"/>
      <c r="J16" s="24"/>
    </row>
    <row r="17" spans="7:10" ht="15" customHeight="1" x14ac:dyDescent="0.15">
      <c r="G17" s="21"/>
      <c r="H17" s="24"/>
      <c r="I17" s="24"/>
      <c r="J17" s="24"/>
    </row>
    <row r="18" spans="7:10" ht="15" customHeight="1" x14ac:dyDescent="0.15">
      <c r="G18" s="21"/>
      <c r="H18" s="24"/>
      <c r="I18" s="24"/>
      <c r="J18" s="24"/>
    </row>
    <row r="19" spans="7:10" ht="15" customHeight="1" x14ac:dyDescent="0.15">
      <c r="G19" s="21"/>
      <c r="H19" s="24"/>
      <c r="I19" s="24"/>
      <c r="J19" s="24"/>
    </row>
    <row r="20" spans="7:10" ht="15" customHeight="1" x14ac:dyDescent="0.15">
      <c r="G20" s="21"/>
      <c r="H20" s="24"/>
      <c r="I20" s="24"/>
      <c r="J20" s="24"/>
    </row>
    <row r="21" spans="7:10" ht="15" customHeight="1" x14ac:dyDescent="0.15">
      <c r="G21" s="21"/>
      <c r="H21" s="24"/>
      <c r="I21" s="24"/>
      <c r="J21" s="24"/>
    </row>
    <row r="22" spans="7:10" ht="15" customHeight="1" x14ac:dyDescent="0.15">
      <c r="G22" s="21"/>
      <c r="H22" s="24"/>
      <c r="I22" s="24"/>
      <c r="J22" s="24"/>
    </row>
    <row r="23" spans="7:10" ht="15" customHeight="1" x14ac:dyDescent="0.15">
      <c r="G23" s="21"/>
      <c r="H23" s="24"/>
      <c r="I23" s="24"/>
      <c r="J23" s="24"/>
    </row>
    <row r="24" spans="7:10" ht="15" customHeight="1" x14ac:dyDescent="0.15">
      <c r="G24" s="21"/>
      <c r="H24" s="24"/>
      <c r="I24" s="24"/>
      <c r="J24" s="24"/>
    </row>
  </sheetData>
  <mergeCells count="2">
    <mergeCell ref="H3:J3"/>
    <mergeCell ref="A1:XFD1"/>
  </mergeCells>
  <conditionalFormatting sqref="A5:K104">
    <cfRule type="expression" dxfId="14" priority="1">
      <formula>AND(COUNTA($A5:$O5)&gt;0,ISBLANK(A5))</formula>
    </cfRule>
  </conditionalFormatting>
  <dataValidations count="106">
    <dataValidation type="list" showInputMessage="1" prompt="Max. 5 Zeichen." sqref="A5:A104" xr:uid="{02FE62C6-B8E3-5C49-A0D8-9E0803AEAE1F}">
      <formula1>WS13ExpertCodes</formula1>
    </dataValidation>
    <dataValidation type="list" showErrorMessage="1" sqref="C5:C100" xr:uid="{E1A90F12-61F1-F040-9F16-0313BFE22917}">
      <formula1>BuildingUsageTypeSelection</formula1>
    </dataValidation>
    <dataValidation type="list" showErrorMessage="1" sqref="D5" xr:uid="{742826A4-1B9C-4543-AF61-F448E8845367}">
      <formula1>INDIRECT(SUBSTITUTE(SUBSTITUTE(SUBSTITUTE(C5," ",""),".",""),"/",""))</formula1>
    </dataValidation>
    <dataValidation type="list" showErrorMessage="1" sqref="D6" xr:uid="{5E1EB4B3-486F-EA4D-BCE8-B77D7EE3E4B5}">
      <formula1>INDIRECT(SUBSTITUTE(SUBSTITUTE(SUBSTITUTE(C6," ",""),".",""),"/",""))</formula1>
    </dataValidation>
    <dataValidation type="list" showErrorMessage="1" sqref="D7" xr:uid="{0767D2DD-7BEB-B441-AAA4-9A0473EB7AE9}">
      <formula1>INDIRECT(SUBSTITUTE(SUBSTITUTE(SUBSTITUTE(C7," ",""),".",""),"/",""))</formula1>
    </dataValidation>
    <dataValidation type="list" showErrorMessage="1" sqref="D8" xr:uid="{93E7412B-76D6-5B48-9028-56F9504F4C55}">
      <formula1>INDIRECT(SUBSTITUTE(SUBSTITUTE(SUBSTITUTE(C8," ",""),".",""),"/",""))</formula1>
    </dataValidation>
    <dataValidation type="list" showErrorMessage="1" sqref="D9" xr:uid="{9450F62F-90D9-F344-88F0-155D433DB017}">
      <formula1>INDIRECT(SUBSTITUTE(SUBSTITUTE(SUBSTITUTE(C9," ",""),".",""),"/",""))</formula1>
    </dataValidation>
    <dataValidation type="list" showErrorMessage="1" sqref="D10" xr:uid="{75900480-4641-F745-B2A3-ADD732DED114}">
      <formula1>INDIRECT(SUBSTITUTE(SUBSTITUTE(SUBSTITUTE(C10," ",""),".",""),"/",""))</formula1>
    </dataValidation>
    <dataValidation type="list" showErrorMessage="1" sqref="D11" xr:uid="{DBA81D25-019D-4748-ABE0-D78DD3C74116}">
      <formula1>INDIRECT(SUBSTITUTE(SUBSTITUTE(SUBSTITUTE(C11," ",""),".",""),"/",""))</formula1>
    </dataValidation>
    <dataValidation type="list" showErrorMessage="1" sqref="D12" xr:uid="{09235729-FB25-3A4A-A28E-572EDC900496}">
      <formula1>INDIRECT(SUBSTITUTE(SUBSTITUTE(SUBSTITUTE(C12," ",""),".",""),"/",""))</formula1>
    </dataValidation>
    <dataValidation type="list" showErrorMessage="1" sqref="D13" xr:uid="{BBC6E46F-F06A-D547-9F4F-D3500075D829}">
      <formula1>INDIRECT(SUBSTITUTE(SUBSTITUTE(SUBSTITUTE(C13," ",""),".",""),"/",""))</formula1>
    </dataValidation>
    <dataValidation type="list" showErrorMessage="1" sqref="D14" xr:uid="{3D7F6D09-2C1C-4941-9BB6-5B566D50C4A0}">
      <formula1>INDIRECT(SUBSTITUTE(SUBSTITUTE(SUBSTITUTE(C14," ",""),".",""),"/",""))</formula1>
    </dataValidation>
    <dataValidation type="list" showErrorMessage="1" sqref="D15" xr:uid="{0B90AC1B-29E5-E242-966F-296D7BD24A9C}">
      <formula1>INDIRECT(SUBSTITUTE(SUBSTITUTE(SUBSTITUTE(C15," ",""),".",""),"/",""))</formula1>
    </dataValidation>
    <dataValidation type="list" showErrorMessage="1" sqref="D16" xr:uid="{595EA7A9-01CF-2F41-B114-B2FDAC4EB46B}">
      <formula1>INDIRECT(SUBSTITUTE(SUBSTITUTE(SUBSTITUTE(C16," ",""),".",""),"/",""))</formula1>
    </dataValidation>
    <dataValidation type="list" showErrorMessage="1" sqref="D17" xr:uid="{FC6F40D4-3023-9A41-B9E7-A3678A90A61D}">
      <formula1>INDIRECT(SUBSTITUTE(SUBSTITUTE(SUBSTITUTE(C17," ",""),".",""),"/",""))</formula1>
    </dataValidation>
    <dataValidation type="list" showErrorMessage="1" sqref="D18" xr:uid="{763BB1C0-E99A-1D41-AE0C-276BBF5A1B33}">
      <formula1>INDIRECT(SUBSTITUTE(SUBSTITUTE(SUBSTITUTE(C18," ",""),".",""),"/",""))</formula1>
    </dataValidation>
    <dataValidation type="list" showErrorMessage="1" sqref="D19" xr:uid="{92A78ED0-825E-2448-A234-769D2D863415}">
      <formula1>INDIRECT(SUBSTITUTE(SUBSTITUTE(SUBSTITUTE(C19," ",""),".",""),"/",""))</formula1>
    </dataValidation>
    <dataValidation type="list" showErrorMessage="1" sqref="D20" xr:uid="{FD59E14F-A78F-6A49-90EC-DE49C26FC1B3}">
      <formula1>INDIRECT(SUBSTITUTE(SUBSTITUTE(SUBSTITUTE(C20," ",""),".",""),"/",""))</formula1>
    </dataValidation>
    <dataValidation type="list" showErrorMessage="1" sqref="D21" xr:uid="{1CED6149-AD19-7343-9893-C02E841BE88C}">
      <formula1>INDIRECT(SUBSTITUTE(SUBSTITUTE(SUBSTITUTE(C21," ",""),".",""),"/",""))</formula1>
    </dataValidation>
    <dataValidation type="list" showErrorMessage="1" sqref="D22" xr:uid="{E1BC7615-389A-DC46-AB51-35D59235970F}">
      <formula1>INDIRECT(SUBSTITUTE(SUBSTITUTE(SUBSTITUTE(C22," ",""),".",""),"/",""))</formula1>
    </dataValidation>
    <dataValidation type="list" showErrorMessage="1" sqref="D23" xr:uid="{1FEC5EF8-DCDA-4E45-A6D4-389DF4227F42}">
      <formula1>INDIRECT(SUBSTITUTE(SUBSTITUTE(SUBSTITUTE(C23," ",""),".",""),"/",""))</formula1>
    </dataValidation>
    <dataValidation type="list" showErrorMessage="1" sqref="D24" xr:uid="{2D2D748E-C6E5-7C4D-9F5E-FA857AC20066}">
      <formula1>INDIRECT(SUBSTITUTE(SUBSTITUTE(SUBSTITUTE(C24," ",""),".",""),"/",""))</formula1>
    </dataValidation>
    <dataValidation type="list" showErrorMessage="1" sqref="D25" xr:uid="{731675DA-B1A4-9A45-9B29-78F6ACC4336F}">
      <formula1>INDIRECT(SUBSTITUTE(SUBSTITUTE(SUBSTITUTE(C25," ",""),".",""),"/",""))</formula1>
    </dataValidation>
    <dataValidation type="list" showErrorMessage="1" sqref="D26" xr:uid="{E1933B4B-7988-5749-BEC3-4FD14369E9E5}">
      <formula1>INDIRECT(SUBSTITUTE(SUBSTITUTE(SUBSTITUTE(C26," ",""),".",""),"/",""))</formula1>
    </dataValidation>
    <dataValidation type="list" showErrorMessage="1" sqref="D27" xr:uid="{C813CAD2-032E-BF4A-B792-2890FB40F4B3}">
      <formula1>INDIRECT(SUBSTITUTE(SUBSTITUTE(SUBSTITUTE(C27," ",""),".",""),"/",""))</formula1>
    </dataValidation>
    <dataValidation type="list" showErrorMessage="1" sqref="D28" xr:uid="{A7AF9B14-25EA-4240-AAC0-E7EB03C47D5D}">
      <formula1>INDIRECT(SUBSTITUTE(SUBSTITUTE(SUBSTITUTE(C28," ",""),".",""),"/",""))</formula1>
    </dataValidation>
    <dataValidation type="list" showErrorMessage="1" sqref="D29" xr:uid="{88933B85-A47F-994A-BB4A-6647D7A73CB9}">
      <formula1>INDIRECT(SUBSTITUTE(SUBSTITUTE(SUBSTITUTE(C29," ",""),".",""),"/",""))</formula1>
    </dataValidation>
    <dataValidation type="list" showErrorMessage="1" sqref="D30" xr:uid="{16FDFD43-6C82-D14F-B616-2ECD95EDE84D}">
      <formula1>INDIRECT(SUBSTITUTE(SUBSTITUTE(SUBSTITUTE(C30," ",""),".",""),"/",""))</formula1>
    </dataValidation>
    <dataValidation type="list" showErrorMessage="1" sqref="D31" xr:uid="{881CDCDF-84C4-BB43-A8F5-2E97E213FF96}">
      <formula1>INDIRECT(SUBSTITUTE(SUBSTITUTE(SUBSTITUTE(C31," ",""),".",""),"/",""))</formula1>
    </dataValidation>
    <dataValidation type="list" showErrorMessage="1" sqref="D32" xr:uid="{A20CF8A3-6095-444F-894A-39A4CED36B33}">
      <formula1>INDIRECT(SUBSTITUTE(SUBSTITUTE(SUBSTITUTE(C32," ",""),".",""),"/",""))</formula1>
    </dataValidation>
    <dataValidation type="list" showErrorMessage="1" sqref="D33" xr:uid="{93F4187F-3B8B-6B48-94B0-E469D50AC6D0}">
      <formula1>INDIRECT(SUBSTITUTE(SUBSTITUTE(SUBSTITUTE(C33," ",""),".",""),"/",""))</formula1>
    </dataValidation>
    <dataValidation type="list" showErrorMessage="1" sqref="D34" xr:uid="{BF89D174-8388-9442-AA6D-53BA714474AD}">
      <formula1>INDIRECT(SUBSTITUTE(SUBSTITUTE(SUBSTITUTE(C34," ",""),".",""),"/",""))</formula1>
    </dataValidation>
    <dataValidation type="list" showErrorMessage="1" sqref="D35" xr:uid="{F3968F71-62C9-0C4F-8198-B8716FAFAC1C}">
      <formula1>INDIRECT(SUBSTITUTE(SUBSTITUTE(SUBSTITUTE(C35," ",""),".",""),"/",""))</formula1>
    </dataValidation>
    <dataValidation type="list" showErrorMessage="1" sqref="D36" xr:uid="{97DEF982-C96C-8248-BDF9-89CCE6A4D4F7}">
      <formula1>INDIRECT(SUBSTITUTE(SUBSTITUTE(SUBSTITUTE(C36," ",""),".",""),"/",""))</formula1>
    </dataValidation>
    <dataValidation type="list" showErrorMessage="1" sqref="D37" xr:uid="{86D80971-767A-4646-A03E-48C4058FCC48}">
      <formula1>INDIRECT(SUBSTITUTE(SUBSTITUTE(SUBSTITUTE(C37," ",""),".",""),"/",""))</formula1>
    </dataValidation>
    <dataValidation type="list" showErrorMessage="1" sqref="D38" xr:uid="{BC59904E-57B2-7244-BCC5-32C9F702B2E8}">
      <formula1>INDIRECT(SUBSTITUTE(SUBSTITUTE(SUBSTITUTE(C38," ",""),".",""),"/",""))</formula1>
    </dataValidation>
    <dataValidation type="list" showErrorMessage="1" sqref="D39" xr:uid="{93F78057-99D8-BE4F-8238-CCA1ECBDEA69}">
      <formula1>INDIRECT(SUBSTITUTE(SUBSTITUTE(SUBSTITUTE(C39," ",""),".",""),"/",""))</formula1>
    </dataValidation>
    <dataValidation type="list" showErrorMessage="1" sqref="D40" xr:uid="{2620D467-3F23-0449-800F-75793F9C1343}">
      <formula1>INDIRECT(SUBSTITUTE(SUBSTITUTE(SUBSTITUTE(C40," ",""),".",""),"/",""))</formula1>
    </dataValidation>
    <dataValidation type="list" showErrorMessage="1" sqref="D41" xr:uid="{54D950CE-61FB-3E42-9B76-0EB5591EE121}">
      <formula1>INDIRECT(SUBSTITUTE(SUBSTITUTE(SUBSTITUTE(C41," ",""),".",""),"/",""))</formula1>
    </dataValidation>
    <dataValidation type="list" showErrorMessage="1" sqref="D42" xr:uid="{A182A766-813A-A74D-8E63-EE6F1D030681}">
      <formula1>INDIRECT(SUBSTITUTE(SUBSTITUTE(SUBSTITUTE(C42," ",""),".",""),"/",""))</formula1>
    </dataValidation>
    <dataValidation type="list" showErrorMessage="1" sqref="D43" xr:uid="{697EEE99-7E55-5045-9FF5-F9C62B04A65A}">
      <formula1>INDIRECT(SUBSTITUTE(SUBSTITUTE(SUBSTITUTE(C43," ",""),".",""),"/",""))</formula1>
    </dataValidation>
    <dataValidation type="list" showErrorMessage="1" sqref="D44" xr:uid="{15BA67C5-1BD5-6942-8EB2-066A4074FE37}">
      <formula1>INDIRECT(SUBSTITUTE(SUBSTITUTE(SUBSTITUTE(C44," ",""),".",""),"/",""))</formula1>
    </dataValidation>
    <dataValidation type="list" showErrorMessage="1" sqref="D45" xr:uid="{6D9F0883-A83F-874F-B599-1060DDBF2CB8}">
      <formula1>INDIRECT(SUBSTITUTE(SUBSTITUTE(SUBSTITUTE(C45," ",""),".",""),"/",""))</formula1>
    </dataValidation>
    <dataValidation type="list" showErrorMessage="1" sqref="D46" xr:uid="{5115AAFF-7209-8D4C-A2A4-20A484AAA566}">
      <formula1>INDIRECT(SUBSTITUTE(SUBSTITUTE(SUBSTITUTE(C46," ",""),".",""),"/",""))</formula1>
    </dataValidation>
    <dataValidation type="list" showErrorMessage="1" sqref="D47" xr:uid="{54806430-2AB4-BA41-B79B-E6683862D438}">
      <formula1>INDIRECT(SUBSTITUTE(SUBSTITUTE(SUBSTITUTE(C47," ",""),".",""),"/",""))</formula1>
    </dataValidation>
    <dataValidation type="list" showErrorMessage="1" sqref="D48" xr:uid="{75DCA064-ED1D-BF4F-950C-3C1E4DA66425}">
      <formula1>INDIRECT(SUBSTITUTE(SUBSTITUTE(SUBSTITUTE(C48," ",""),".",""),"/",""))</formula1>
    </dataValidation>
    <dataValidation type="list" showErrorMessage="1" sqref="D49" xr:uid="{1D0DBE82-9621-D042-9E02-F00831993DDA}">
      <formula1>INDIRECT(SUBSTITUTE(SUBSTITUTE(SUBSTITUTE(C49," ",""),".",""),"/",""))</formula1>
    </dataValidation>
    <dataValidation type="list" showErrorMessage="1" sqref="D50" xr:uid="{BC390FE2-201A-0949-9F3E-3D69757F824B}">
      <formula1>INDIRECT(SUBSTITUTE(SUBSTITUTE(SUBSTITUTE(C50," ",""),".",""),"/",""))</formula1>
    </dataValidation>
    <dataValidation type="list" showErrorMessage="1" sqref="D51" xr:uid="{5E7B257B-79D9-B64A-9C38-147870A144A5}">
      <formula1>INDIRECT(SUBSTITUTE(SUBSTITUTE(SUBSTITUTE(C51," ",""),".",""),"/",""))</formula1>
    </dataValidation>
    <dataValidation type="list" showErrorMessage="1" sqref="D52" xr:uid="{3A2DDC23-672E-8C40-9655-569E9186DBED}">
      <formula1>INDIRECT(SUBSTITUTE(SUBSTITUTE(SUBSTITUTE(C52," ",""),".",""),"/",""))</formula1>
    </dataValidation>
    <dataValidation type="list" showErrorMessage="1" sqref="D53" xr:uid="{1ABE2EAF-8701-5C47-8735-CDA645A7521D}">
      <formula1>INDIRECT(SUBSTITUTE(SUBSTITUTE(SUBSTITUTE(C53," ",""),".",""),"/",""))</formula1>
    </dataValidation>
    <dataValidation type="list" showErrorMessage="1" sqref="D54" xr:uid="{258866EB-7318-1543-BA27-45295A3CDAE0}">
      <formula1>INDIRECT(SUBSTITUTE(SUBSTITUTE(SUBSTITUTE(C54," ",""),".",""),"/",""))</formula1>
    </dataValidation>
    <dataValidation type="list" showErrorMessage="1" sqref="D55" xr:uid="{592325FB-4F50-3649-8E29-3F2976652D5C}">
      <formula1>INDIRECT(SUBSTITUTE(SUBSTITUTE(SUBSTITUTE(C55," ",""),".",""),"/",""))</formula1>
    </dataValidation>
    <dataValidation type="list" showErrorMessage="1" sqref="D56" xr:uid="{0CAE2A26-F9DE-E847-86AC-84692CEF0022}">
      <formula1>INDIRECT(SUBSTITUTE(SUBSTITUTE(SUBSTITUTE(C56," ",""),".",""),"/",""))</formula1>
    </dataValidation>
    <dataValidation type="list" showErrorMessage="1" sqref="D57" xr:uid="{222B90EF-6963-E241-9A9A-940DC1A57F07}">
      <formula1>INDIRECT(SUBSTITUTE(SUBSTITUTE(SUBSTITUTE(C57," ",""),".",""),"/",""))</formula1>
    </dataValidation>
    <dataValidation type="list" showErrorMessage="1" sqref="D58" xr:uid="{51CC5806-4519-4D42-AE04-DF82CD7F8728}">
      <formula1>INDIRECT(SUBSTITUTE(SUBSTITUTE(SUBSTITUTE(C58," ",""),".",""),"/",""))</formula1>
    </dataValidation>
    <dataValidation type="list" showErrorMessage="1" sqref="D59" xr:uid="{70AB0DA0-45AA-144B-9529-97144EE4BEBD}">
      <formula1>INDIRECT(SUBSTITUTE(SUBSTITUTE(SUBSTITUTE(C59," ",""),".",""),"/",""))</formula1>
    </dataValidation>
    <dataValidation type="list" showErrorMessage="1" sqref="D60" xr:uid="{FA332944-B301-B442-AC12-16644F2EB110}">
      <formula1>INDIRECT(SUBSTITUTE(SUBSTITUTE(SUBSTITUTE(C60," ",""),".",""),"/",""))</formula1>
    </dataValidation>
    <dataValidation type="list" showErrorMessage="1" sqref="D61" xr:uid="{126CA459-9D0D-E641-85BE-FCF729D8620C}">
      <formula1>INDIRECT(SUBSTITUTE(SUBSTITUTE(SUBSTITUTE(C61," ",""),".",""),"/",""))</formula1>
    </dataValidation>
    <dataValidation type="list" showErrorMessage="1" sqref="D62" xr:uid="{9F4AA93F-A3BE-4043-A825-1ABBD514317F}">
      <formula1>INDIRECT(SUBSTITUTE(SUBSTITUTE(SUBSTITUTE(C62," ",""),".",""),"/",""))</formula1>
    </dataValidation>
    <dataValidation type="list" showErrorMessage="1" sqref="D63" xr:uid="{6C89D4AC-21E8-8742-B224-9CBD9A15694F}">
      <formula1>INDIRECT(SUBSTITUTE(SUBSTITUTE(SUBSTITUTE(C63," ",""),".",""),"/",""))</formula1>
    </dataValidation>
    <dataValidation type="list" showErrorMessage="1" sqref="D64" xr:uid="{BAA78FDB-E459-DD4C-A21A-FC54F6173288}">
      <formula1>INDIRECT(SUBSTITUTE(SUBSTITUTE(SUBSTITUTE(C64," ",""),".",""),"/",""))</formula1>
    </dataValidation>
    <dataValidation type="list" showErrorMessage="1" sqref="D65" xr:uid="{CB0F87E3-BAB1-6D45-A8F2-7BA7F672F408}">
      <formula1>INDIRECT(SUBSTITUTE(SUBSTITUTE(SUBSTITUTE(C65," ",""),".",""),"/",""))</formula1>
    </dataValidation>
    <dataValidation type="list" showErrorMessage="1" sqref="D66" xr:uid="{17F0B34C-6FD4-E742-B11F-1C8B148DFB7A}">
      <formula1>INDIRECT(SUBSTITUTE(SUBSTITUTE(SUBSTITUTE(C66," ",""),".",""),"/",""))</formula1>
    </dataValidation>
    <dataValidation type="list" showErrorMessage="1" sqref="D67" xr:uid="{4E81212B-9554-8E44-9D8D-6EFAADE375F4}">
      <formula1>INDIRECT(SUBSTITUTE(SUBSTITUTE(SUBSTITUTE(C67," ",""),".",""),"/",""))</formula1>
    </dataValidation>
    <dataValidation type="list" showErrorMessage="1" sqref="D68" xr:uid="{0E7282A6-AC33-B24F-85EE-A3CCD2D6EEB7}">
      <formula1>INDIRECT(SUBSTITUTE(SUBSTITUTE(SUBSTITUTE(C68," ",""),".",""),"/",""))</formula1>
    </dataValidation>
    <dataValidation type="list" showErrorMessage="1" sqref="D69" xr:uid="{E39C2E28-97A8-954C-A342-52ED914F890E}">
      <formula1>INDIRECT(SUBSTITUTE(SUBSTITUTE(SUBSTITUTE(C69," ",""),".",""),"/",""))</formula1>
    </dataValidation>
    <dataValidation type="list" showErrorMessage="1" sqref="D70" xr:uid="{A6F89109-170B-7B42-A625-77967D3806AE}">
      <formula1>INDIRECT(SUBSTITUTE(SUBSTITUTE(SUBSTITUTE(C70," ",""),".",""),"/",""))</formula1>
    </dataValidation>
    <dataValidation type="list" showErrorMessage="1" sqref="D71" xr:uid="{19A7C822-B400-2F41-96DB-2C70981820D0}">
      <formula1>INDIRECT(SUBSTITUTE(SUBSTITUTE(SUBSTITUTE(C71," ",""),".",""),"/",""))</formula1>
    </dataValidation>
    <dataValidation type="list" showErrorMessage="1" sqref="D72" xr:uid="{343FC24D-9683-AF4D-B1BB-625BB0BB956B}">
      <formula1>INDIRECT(SUBSTITUTE(SUBSTITUTE(SUBSTITUTE(C72," ",""),".",""),"/",""))</formula1>
    </dataValidation>
    <dataValidation type="list" showErrorMessage="1" sqref="D73" xr:uid="{4659A231-D70E-AF44-8FF6-60DF3E36C806}">
      <formula1>INDIRECT(SUBSTITUTE(SUBSTITUTE(SUBSTITUTE(C73," ",""),".",""),"/",""))</formula1>
    </dataValidation>
    <dataValidation type="list" showErrorMessage="1" sqref="D74" xr:uid="{F963B770-72BC-8649-805A-E85F3DDE1FC0}">
      <formula1>INDIRECT(SUBSTITUTE(SUBSTITUTE(SUBSTITUTE(C74," ",""),".",""),"/",""))</formula1>
    </dataValidation>
    <dataValidation type="list" showErrorMessage="1" sqref="D75" xr:uid="{A6140FEC-ADC0-2B46-976A-BA0F4FB45CB5}">
      <formula1>INDIRECT(SUBSTITUTE(SUBSTITUTE(SUBSTITUTE(C75," ",""),".",""),"/",""))</formula1>
    </dataValidation>
    <dataValidation type="list" showErrorMessage="1" sqref="D76" xr:uid="{0F12DFC4-2D5A-AB41-A7FA-B316C6860ACF}">
      <formula1>INDIRECT(SUBSTITUTE(SUBSTITUTE(SUBSTITUTE(C76," ",""),".",""),"/",""))</formula1>
    </dataValidation>
    <dataValidation type="list" showErrorMessage="1" sqref="D77" xr:uid="{DD6D3A81-C1D4-564C-893E-382314D15BC1}">
      <formula1>INDIRECT(SUBSTITUTE(SUBSTITUTE(SUBSTITUTE(C77," ",""),".",""),"/",""))</formula1>
    </dataValidation>
    <dataValidation type="list" showErrorMessage="1" sqref="D78" xr:uid="{ED1385D9-8574-6F42-9742-824308DA6CBC}">
      <formula1>INDIRECT(SUBSTITUTE(SUBSTITUTE(SUBSTITUTE(C78," ",""),".",""),"/",""))</formula1>
    </dataValidation>
    <dataValidation type="list" showErrorMessage="1" sqref="D79" xr:uid="{1C20FF39-49F7-3840-B3B1-ECA8C595E3A1}">
      <formula1>INDIRECT(SUBSTITUTE(SUBSTITUTE(SUBSTITUTE(C79," ",""),".",""),"/",""))</formula1>
    </dataValidation>
    <dataValidation type="list" showErrorMessage="1" sqref="D80" xr:uid="{EC5F7383-160F-6E42-B8AA-307A5E64747D}">
      <formula1>INDIRECT(SUBSTITUTE(SUBSTITUTE(SUBSTITUTE(C80," ",""),".",""),"/",""))</formula1>
    </dataValidation>
    <dataValidation type="list" showErrorMessage="1" sqref="D81" xr:uid="{EE2FC2BE-81F5-1644-B46E-CCF1EECC6E53}">
      <formula1>INDIRECT(SUBSTITUTE(SUBSTITUTE(SUBSTITUTE(C81," ",""),".",""),"/",""))</formula1>
    </dataValidation>
    <dataValidation type="list" showErrorMessage="1" sqref="D82" xr:uid="{7A4FE09D-D859-1F4E-9517-0039CB24A8E2}">
      <formula1>INDIRECT(SUBSTITUTE(SUBSTITUTE(SUBSTITUTE(C82," ",""),".",""),"/",""))</formula1>
    </dataValidation>
    <dataValidation type="list" showErrorMessage="1" sqref="D83" xr:uid="{09CA7CF9-95EC-6146-94C7-B062E884713A}">
      <formula1>INDIRECT(SUBSTITUTE(SUBSTITUTE(SUBSTITUTE(C83," ",""),".",""),"/",""))</formula1>
    </dataValidation>
    <dataValidation type="list" showErrorMessage="1" sqref="D84" xr:uid="{066550DF-E848-1B4A-8F54-34E09B876BF2}">
      <formula1>INDIRECT(SUBSTITUTE(SUBSTITUTE(SUBSTITUTE(C84," ",""),".",""),"/",""))</formula1>
    </dataValidation>
    <dataValidation type="list" showErrorMessage="1" sqref="D85" xr:uid="{C72611EE-5F4C-A948-84AE-E1656ABFAB7B}">
      <formula1>INDIRECT(SUBSTITUTE(SUBSTITUTE(SUBSTITUTE(C85," ",""),".",""),"/",""))</formula1>
    </dataValidation>
    <dataValidation type="list" showErrorMessage="1" sqref="D86" xr:uid="{6A6A7CF3-9F86-FC49-81A8-A1D08DCFFF97}">
      <formula1>INDIRECT(SUBSTITUTE(SUBSTITUTE(SUBSTITUTE(C86," ",""),".",""),"/",""))</formula1>
    </dataValidation>
    <dataValidation type="list" showErrorMessage="1" sqref="D87" xr:uid="{61B57D0F-C438-FB43-9607-F9BE6B9BD8CA}">
      <formula1>INDIRECT(SUBSTITUTE(SUBSTITUTE(SUBSTITUTE(C87," ",""),".",""),"/",""))</formula1>
    </dataValidation>
    <dataValidation type="list" showErrorMessage="1" sqref="D88" xr:uid="{87971DD3-77A4-5644-A3EB-AE3F9204014F}">
      <formula1>INDIRECT(SUBSTITUTE(SUBSTITUTE(SUBSTITUTE(C88," ",""),".",""),"/",""))</formula1>
    </dataValidation>
    <dataValidation type="list" showErrorMessage="1" sqref="D89" xr:uid="{DDB56580-60FB-9244-B1E1-C24BF09563FE}">
      <formula1>INDIRECT(SUBSTITUTE(SUBSTITUTE(SUBSTITUTE(C89," ",""),".",""),"/",""))</formula1>
    </dataValidation>
    <dataValidation type="list" showErrorMessage="1" sqref="D90" xr:uid="{8E5F560F-C6EE-AB4F-9792-C02AD68E0979}">
      <formula1>INDIRECT(SUBSTITUTE(SUBSTITUTE(SUBSTITUTE(C90," ",""),".",""),"/",""))</formula1>
    </dataValidation>
    <dataValidation type="list" showErrorMessage="1" sqref="D91" xr:uid="{5E48476F-9A11-274F-80FA-BF1D851075E1}">
      <formula1>INDIRECT(SUBSTITUTE(SUBSTITUTE(SUBSTITUTE(C91," ",""),".",""),"/",""))</formula1>
    </dataValidation>
    <dataValidation type="list" showErrorMessage="1" sqref="D92" xr:uid="{00D18DF7-47A1-7341-8593-3558B4A4D74E}">
      <formula1>INDIRECT(SUBSTITUTE(SUBSTITUTE(SUBSTITUTE(C92," ",""),".",""),"/",""))</formula1>
    </dataValidation>
    <dataValidation type="list" showErrorMessage="1" sqref="D93" xr:uid="{883E1F56-C900-AD4A-B0C6-3E2E280DF3C7}">
      <formula1>INDIRECT(SUBSTITUTE(SUBSTITUTE(SUBSTITUTE(C93," ",""),".",""),"/",""))</formula1>
    </dataValidation>
    <dataValidation type="list" showErrorMessage="1" sqref="D94" xr:uid="{F9853E0D-DB0F-9948-B713-FE67DBFCE83C}">
      <formula1>INDIRECT(SUBSTITUTE(SUBSTITUTE(SUBSTITUTE(C94," ",""),".",""),"/",""))</formula1>
    </dataValidation>
    <dataValidation type="list" showErrorMessage="1" sqref="D95" xr:uid="{5F039301-64F2-5440-97C2-C2D907BB3960}">
      <formula1>INDIRECT(SUBSTITUTE(SUBSTITUTE(SUBSTITUTE(C95," ",""),".",""),"/",""))</formula1>
    </dataValidation>
    <dataValidation type="list" showErrorMessage="1" sqref="D96" xr:uid="{D2926DB0-0EC6-1646-9824-2ECFF41D4224}">
      <formula1>INDIRECT(SUBSTITUTE(SUBSTITUTE(SUBSTITUTE(C96," ",""),".",""),"/",""))</formula1>
    </dataValidation>
    <dataValidation type="list" showErrorMessage="1" sqref="D97" xr:uid="{1C88E6AD-FDB1-4C49-8F93-380600120656}">
      <formula1>INDIRECT(SUBSTITUTE(SUBSTITUTE(SUBSTITUTE(C97," ",""),".",""),"/",""))</formula1>
    </dataValidation>
    <dataValidation type="list" showErrorMessage="1" sqref="D98" xr:uid="{A2EF4687-BF8C-834E-A404-55677D83B40C}">
      <formula1>INDIRECT(SUBSTITUTE(SUBSTITUTE(SUBSTITUTE(C98," ",""),".",""),"/",""))</formula1>
    </dataValidation>
    <dataValidation type="list" showErrorMessage="1" sqref="D99" xr:uid="{EA5693B5-AB90-F248-AAF2-3F1C3BE659B2}">
      <formula1>INDIRECT(SUBSTITUTE(SUBSTITUTE(SUBSTITUTE(C99," ",""),".",""),"/",""))</formula1>
    </dataValidation>
    <dataValidation type="list" showErrorMessage="1" sqref="D100" xr:uid="{A2FC28D3-F1AF-7D40-A84B-252423A79B6B}">
      <formula1>INDIRECT(SUBSTITUTE(SUBSTITUTE(SUBSTITUTE(C100," ",""),".",""),"/",""))</formula1>
    </dataValidation>
    <dataValidation type="list" showErrorMessage="1" sqref="D101" xr:uid="{DEC7DE11-204C-9C4B-8A2D-3414405BDD45}">
      <formula1>INDIRECT(SUBSTITUTE(SUBSTITUTE(SUBSTITUTE(C101," ",""),".",""),"/",""))</formula1>
    </dataValidation>
    <dataValidation type="list" showErrorMessage="1" sqref="D102" xr:uid="{2637F4B0-AEC2-2D4E-8CC3-16A1A4DD02DE}">
      <formula1>INDIRECT(SUBSTITUTE(SUBSTITUTE(SUBSTITUTE(C102," ",""),".",""),"/",""))</formula1>
    </dataValidation>
    <dataValidation type="list" showErrorMessage="1" sqref="D103" xr:uid="{8305DEE2-3596-8E45-AC8E-428B42EC6719}">
      <formula1>INDIRECT(SUBSTITUTE(SUBSTITUTE(SUBSTITUTE(C103," ",""),".",""),"/",""))</formula1>
    </dataValidation>
    <dataValidation type="list" showErrorMessage="1" sqref="D104" xr:uid="{26D8BE9B-2423-B54C-9AE1-1E2E79391452}">
      <formula1>INDIRECT(SUBSTITUTE(SUBSTITUTE(SUBSTITUTE(C104," ",""),".",""),"/",""))</formula1>
    </dataValidation>
    <dataValidation type="list" showErrorMessage="1" sqref="F5:F104" xr:uid="{2DE72822-F85C-2444-9F6E-EB1507E009FA}">
      <formula1>ExpansionDegrees</formula1>
    </dataValidation>
    <dataValidation type="list" showErrorMessage="1" sqref="K5:K104" xr:uid="{2060FCF7-667F-AB48-B378-DF4453936B01}">
      <formula1>Boolean</formula1>
    </dataValidation>
    <dataValidation type="list" showErrorMessage="1" sqref="N5:N104" xr:uid="{F1D217B1-C7A6-6E41-9863-02AF5256A23C}">
      <formula1>CalculationBase_NoMeter</formula1>
    </dataValidation>
    <dataValidation type="textLength" operator="lessThanOrEqual" allowBlank="1" showInputMessage="1" showErrorMessage="1" prompt="Max. 250 Zeichen." sqref="B5:B105" xr:uid="{28D50487-9A41-8D43-B818-A3784D40C30F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E50D-4481-9449-BA57-776FCEB52B53}">
  <dimension ref="A1:P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0.5" style="1" customWidth="1"/>
    <col min="6" max="7" width="14.83203125" style="1" customWidth="1"/>
    <col min="8" max="8" width="15.83203125" style="1" customWidth="1"/>
    <col min="9" max="11" width="9.6640625" style="1" customWidth="1"/>
    <col min="12" max="12" width="15.5" style="1" customWidth="1"/>
    <col min="13" max="13" width="16.5" style="1" customWidth="1"/>
    <col min="14" max="14" width="11.5" style="1" customWidth="1"/>
    <col min="15" max="15" width="23.5" style="1" customWidth="1"/>
    <col min="16" max="16" width="14.6640625" style="1" customWidth="1"/>
    <col min="17" max="16384" width="9.1640625" style="1"/>
  </cols>
  <sheetData>
    <row r="1" spans="1:16" s="197" customFormat="1" ht="15" customHeight="1" thickBot="1" x14ac:dyDescent="0.2">
      <c r="A1" s="177" t="s">
        <v>58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 ht="15" customHeight="1" x14ac:dyDescent="0.15">
      <c r="I2" s="24"/>
    </row>
    <row r="3" spans="1:16" ht="33" customHeight="1" x14ac:dyDescent="0.15">
      <c r="A3" s="52"/>
      <c r="I3" s="209" t="s">
        <v>67</v>
      </c>
      <c r="J3" s="205"/>
      <c r="K3" s="206"/>
    </row>
    <row r="4" spans="1:16" s="34" customFormat="1" ht="34.5" customHeight="1" x14ac:dyDescent="0.15">
      <c r="A4" s="119" t="s">
        <v>16</v>
      </c>
      <c r="B4" s="128" t="s">
        <v>27</v>
      </c>
      <c r="C4" s="128" t="s">
        <v>161</v>
      </c>
      <c r="D4" s="128" t="s">
        <v>21</v>
      </c>
      <c r="E4" s="128" t="s">
        <v>162</v>
      </c>
      <c r="F4" s="128" t="s">
        <v>56</v>
      </c>
      <c r="G4" s="128" t="s">
        <v>53</v>
      </c>
      <c r="H4" s="128" t="s">
        <v>201</v>
      </c>
      <c r="I4" s="128" t="s">
        <v>68</v>
      </c>
      <c r="J4" s="128" t="s">
        <v>69</v>
      </c>
      <c r="K4" s="128" t="s">
        <v>70</v>
      </c>
      <c r="L4" s="128" t="s">
        <v>719</v>
      </c>
      <c r="M4" s="119" t="s">
        <v>204</v>
      </c>
      <c r="N4" s="119" t="s">
        <v>205</v>
      </c>
      <c r="O4" s="119" t="s">
        <v>196</v>
      </c>
      <c r="P4" s="119" t="s">
        <v>197</v>
      </c>
    </row>
    <row r="5" spans="1:16" ht="15" customHeight="1" x14ac:dyDescent="0.15">
      <c r="H5" s="21"/>
      <c r="I5" s="24"/>
      <c r="J5" s="24"/>
      <c r="K5" s="24"/>
    </row>
    <row r="6" spans="1:16" ht="15" customHeight="1" x14ac:dyDescent="0.15">
      <c r="H6" s="21"/>
      <c r="I6" s="24"/>
      <c r="J6" s="24"/>
      <c r="K6" s="24"/>
    </row>
    <row r="7" spans="1:16" ht="15" customHeight="1" x14ac:dyDescent="0.15">
      <c r="H7" s="21"/>
      <c r="I7" s="24"/>
      <c r="J7" s="24"/>
      <c r="K7" s="24"/>
    </row>
    <row r="8" spans="1:16" ht="15" customHeight="1" x14ac:dyDescent="0.15">
      <c r="H8" s="21"/>
      <c r="I8" s="24"/>
      <c r="J8" s="24"/>
      <c r="K8" s="24"/>
    </row>
    <row r="9" spans="1:16" ht="15" customHeight="1" x14ac:dyDescent="0.15">
      <c r="H9" s="21"/>
      <c r="I9" s="24"/>
      <c r="J9" s="24"/>
      <c r="K9" s="24"/>
    </row>
    <row r="10" spans="1:16" ht="15" customHeight="1" x14ac:dyDescent="0.15">
      <c r="H10" s="21"/>
      <c r="I10" s="24"/>
      <c r="J10" s="24"/>
      <c r="K10" s="24"/>
    </row>
    <row r="11" spans="1:16" ht="15" customHeight="1" x14ac:dyDescent="0.15">
      <c r="H11" s="21"/>
      <c r="I11" s="24"/>
      <c r="J11" s="24"/>
      <c r="K11" s="24"/>
    </row>
    <row r="12" spans="1:16" ht="15" customHeight="1" x14ac:dyDescent="0.15">
      <c r="H12" s="21"/>
      <c r="I12" s="24"/>
      <c r="J12" s="24"/>
      <c r="K12" s="24"/>
    </row>
    <row r="13" spans="1:16" ht="15" customHeight="1" x14ac:dyDescent="0.15">
      <c r="H13" s="21"/>
      <c r="I13" s="24"/>
      <c r="J13" s="24"/>
      <c r="K13" s="24"/>
    </row>
    <row r="14" spans="1:16" ht="15" customHeight="1" x14ac:dyDescent="0.15">
      <c r="H14" s="21"/>
      <c r="I14" s="24"/>
      <c r="J14" s="24"/>
      <c r="K14" s="24"/>
    </row>
    <row r="15" spans="1:16" ht="15" customHeight="1" x14ac:dyDescent="0.15">
      <c r="H15" s="21"/>
      <c r="I15" s="24"/>
      <c r="J15" s="24"/>
      <c r="K15" s="24"/>
    </row>
    <row r="16" spans="1:16" ht="15" customHeight="1" x14ac:dyDescent="0.15">
      <c r="H16" s="21"/>
      <c r="I16" s="24"/>
      <c r="J16" s="24"/>
      <c r="K16" s="24"/>
    </row>
    <row r="17" spans="8:11" ht="15" customHeight="1" x14ac:dyDescent="0.15">
      <c r="H17" s="21"/>
      <c r="I17" s="24"/>
      <c r="J17" s="24"/>
      <c r="K17" s="24"/>
    </row>
    <row r="18" spans="8:11" ht="15" customHeight="1" x14ac:dyDescent="0.15">
      <c r="H18" s="21"/>
      <c r="I18" s="24"/>
      <c r="J18" s="24"/>
      <c r="K18" s="24"/>
    </row>
    <row r="19" spans="8:11" ht="15" customHeight="1" x14ac:dyDescent="0.15">
      <c r="H19" s="21"/>
      <c r="I19" s="24"/>
      <c r="J19" s="24"/>
      <c r="K19" s="24"/>
    </row>
    <row r="20" spans="8:11" ht="15" customHeight="1" x14ac:dyDescent="0.15">
      <c r="H20" s="21"/>
      <c r="I20" s="24"/>
      <c r="J20" s="24"/>
      <c r="K20" s="24"/>
    </row>
    <row r="21" spans="8:11" ht="15" customHeight="1" x14ac:dyDescent="0.15">
      <c r="H21" s="21"/>
      <c r="I21" s="24"/>
      <c r="J21" s="24"/>
      <c r="K21" s="24"/>
    </row>
    <row r="22" spans="8:11" ht="15" customHeight="1" x14ac:dyDescent="0.15">
      <c r="H22" s="21"/>
      <c r="I22" s="24"/>
      <c r="J22" s="24"/>
      <c r="K22" s="24"/>
    </row>
    <row r="23" spans="8:11" ht="15" customHeight="1" x14ac:dyDescent="0.15">
      <c r="H23" s="21"/>
      <c r="I23" s="24"/>
      <c r="J23" s="24"/>
      <c r="K23" s="24"/>
    </row>
    <row r="24" spans="8:11" ht="15" customHeight="1" x14ac:dyDescent="0.15">
      <c r="H24" s="21"/>
      <c r="I24" s="24"/>
      <c r="J24" s="24"/>
      <c r="K24" s="24"/>
    </row>
  </sheetData>
  <mergeCells count="2">
    <mergeCell ref="I3:K3"/>
    <mergeCell ref="A1:XFD1"/>
  </mergeCells>
  <conditionalFormatting sqref="A5:L104">
    <cfRule type="expression" dxfId="13" priority="1">
      <formula>AND(COUNTA($A5:$P5)&gt;0,ISBLANK(A5))</formula>
    </cfRule>
  </conditionalFormatting>
  <dataValidations count="107">
    <dataValidation type="list" showInputMessage="1" prompt="Max. 5 Zeichen." sqref="A5:A104" xr:uid="{7CA5C678-B969-764B-BA6D-813FC3383876}">
      <formula1>WS14ExpertCodes</formula1>
    </dataValidation>
    <dataValidation type="list" showErrorMessage="1" sqref="C5:C100" xr:uid="{B10A9E14-9200-194F-973D-45AA6004982E}">
      <formula1>BuildingUsageTypeSelection</formula1>
    </dataValidation>
    <dataValidation type="list" showErrorMessage="1" sqref="D5" xr:uid="{6D036DFC-A5FA-354D-AAD6-02A146A027D0}">
      <formula1>INDIRECT(SUBSTITUTE(SUBSTITUTE(SUBSTITUTE(C5," ",""),".",""),"/",""))</formula1>
    </dataValidation>
    <dataValidation type="list" showErrorMessage="1" sqref="D6" xr:uid="{A2983ECC-9051-5D47-80A7-F7C188688AC3}">
      <formula1>INDIRECT(SUBSTITUTE(SUBSTITUTE(SUBSTITUTE(C6," ",""),".",""),"/",""))</formula1>
    </dataValidation>
    <dataValidation type="list" showErrorMessage="1" sqref="D7" xr:uid="{721CE9A9-8D28-F045-B649-3EEBFE77EAC8}">
      <formula1>INDIRECT(SUBSTITUTE(SUBSTITUTE(SUBSTITUTE(C7," ",""),".",""),"/",""))</formula1>
    </dataValidation>
    <dataValidation type="list" showErrorMessage="1" sqref="D8" xr:uid="{8BB89C30-5DF5-A144-BE3F-886D45D9920D}">
      <formula1>INDIRECT(SUBSTITUTE(SUBSTITUTE(SUBSTITUTE(C8," ",""),".",""),"/",""))</formula1>
    </dataValidation>
    <dataValidation type="list" showErrorMessage="1" sqref="D9" xr:uid="{2758FB8C-B284-EB41-82A9-F94C868D8DD6}">
      <formula1>INDIRECT(SUBSTITUTE(SUBSTITUTE(SUBSTITUTE(C9," ",""),".",""),"/",""))</formula1>
    </dataValidation>
    <dataValidation type="list" showErrorMessage="1" sqref="D10" xr:uid="{F612C4B9-B796-8E4A-976F-D4C4623F9DA6}">
      <formula1>INDIRECT(SUBSTITUTE(SUBSTITUTE(SUBSTITUTE(C10," ",""),".",""),"/",""))</formula1>
    </dataValidation>
    <dataValidation type="list" showErrorMessage="1" sqref="D11" xr:uid="{F05E974F-4CFA-B948-83E0-5673C9A68E88}">
      <formula1>INDIRECT(SUBSTITUTE(SUBSTITUTE(SUBSTITUTE(C11," ",""),".",""),"/",""))</formula1>
    </dataValidation>
    <dataValidation type="list" showErrorMessage="1" sqref="D12" xr:uid="{4F230E1B-DC0F-154F-82F4-D43892623B5E}">
      <formula1>INDIRECT(SUBSTITUTE(SUBSTITUTE(SUBSTITUTE(C12," ",""),".",""),"/",""))</formula1>
    </dataValidation>
    <dataValidation type="list" showErrorMessage="1" sqref="D13" xr:uid="{B848350B-F1C4-5D46-9317-D04CA9E35417}">
      <formula1>INDIRECT(SUBSTITUTE(SUBSTITUTE(SUBSTITUTE(C13," ",""),".",""),"/",""))</formula1>
    </dataValidation>
    <dataValidation type="list" showErrorMessage="1" sqref="D14" xr:uid="{0EC8BC7F-BD18-7245-AFEC-DCFA84597BD2}">
      <formula1>INDIRECT(SUBSTITUTE(SUBSTITUTE(SUBSTITUTE(C14," ",""),".",""),"/",""))</formula1>
    </dataValidation>
    <dataValidation type="list" showErrorMessage="1" sqref="D15" xr:uid="{8C902B88-E869-0840-9472-4B8885C0FF4B}">
      <formula1>INDIRECT(SUBSTITUTE(SUBSTITUTE(SUBSTITUTE(C15," ",""),".",""),"/",""))</formula1>
    </dataValidation>
    <dataValidation type="list" showErrorMessage="1" sqref="D16" xr:uid="{5F0B3E24-BF22-D844-899C-049C8B3A079D}">
      <formula1>INDIRECT(SUBSTITUTE(SUBSTITUTE(SUBSTITUTE(C16," ",""),".",""),"/",""))</formula1>
    </dataValidation>
    <dataValidation type="list" showErrorMessage="1" sqref="D17" xr:uid="{BCDD6AC7-B636-9147-8AD7-537F709064D6}">
      <formula1>INDIRECT(SUBSTITUTE(SUBSTITUTE(SUBSTITUTE(C17," ",""),".",""),"/",""))</formula1>
    </dataValidation>
    <dataValidation type="list" showErrorMessage="1" sqref="D18" xr:uid="{132ACC4B-8BA9-DB49-A1C2-51A913C5BCC8}">
      <formula1>INDIRECT(SUBSTITUTE(SUBSTITUTE(SUBSTITUTE(C18," ",""),".",""),"/",""))</formula1>
    </dataValidation>
    <dataValidation type="list" showErrorMessage="1" sqref="D19" xr:uid="{FBE393C2-06BE-E14B-A40B-6AFB8BDB770B}">
      <formula1>INDIRECT(SUBSTITUTE(SUBSTITUTE(SUBSTITUTE(C19," ",""),".",""),"/",""))</formula1>
    </dataValidation>
    <dataValidation type="list" showErrorMessage="1" sqref="D20" xr:uid="{DD0C8C71-9CA1-0C4C-9378-4710690EA78E}">
      <formula1>INDIRECT(SUBSTITUTE(SUBSTITUTE(SUBSTITUTE(C20," ",""),".",""),"/",""))</formula1>
    </dataValidation>
    <dataValidation type="list" showErrorMessage="1" sqref="D21" xr:uid="{A6558613-DBDD-8541-9455-6DF5E0A4C801}">
      <formula1>INDIRECT(SUBSTITUTE(SUBSTITUTE(SUBSTITUTE(C21," ",""),".",""),"/",""))</formula1>
    </dataValidation>
    <dataValidation type="list" showErrorMessage="1" sqref="D22" xr:uid="{ED5F5D78-BCB8-2441-B640-F52E23E9ED52}">
      <formula1>INDIRECT(SUBSTITUTE(SUBSTITUTE(SUBSTITUTE(C22," ",""),".",""),"/",""))</formula1>
    </dataValidation>
    <dataValidation type="list" showErrorMessage="1" sqref="D23" xr:uid="{B38A83EC-EF7C-9F40-A664-1EA1A39EA4ED}">
      <formula1>INDIRECT(SUBSTITUTE(SUBSTITUTE(SUBSTITUTE(C23," ",""),".",""),"/",""))</formula1>
    </dataValidation>
    <dataValidation type="list" showErrorMessage="1" sqref="D24" xr:uid="{C799AAE9-7959-E94C-A4A8-00896D24B6B5}">
      <formula1>INDIRECT(SUBSTITUTE(SUBSTITUTE(SUBSTITUTE(C24," ",""),".",""),"/",""))</formula1>
    </dataValidation>
    <dataValidation type="list" showErrorMessage="1" sqref="D25" xr:uid="{A06BADBB-831A-A54D-9213-65EFE19DB83E}">
      <formula1>INDIRECT(SUBSTITUTE(SUBSTITUTE(SUBSTITUTE(C25," ",""),".",""),"/",""))</formula1>
    </dataValidation>
    <dataValidation type="list" showErrorMessage="1" sqref="D26" xr:uid="{F645F975-CCA6-874A-B945-9BDDAEAE02AD}">
      <formula1>INDIRECT(SUBSTITUTE(SUBSTITUTE(SUBSTITUTE(C26," ",""),".",""),"/",""))</formula1>
    </dataValidation>
    <dataValidation type="list" showErrorMessage="1" sqref="D27" xr:uid="{A3053635-EF76-AB40-8EF2-D0DCFE0448C1}">
      <formula1>INDIRECT(SUBSTITUTE(SUBSTITUTE(SUBSTITUTE(C27," ",""),".",""),"/",""))</formula1>
    </dataValidation>
    <dataValidation type="list" showErrorMessage="1" sqref="D28" xr:uid="{A7DB6CCD-92BA-2E4E-B3B2-B289BD7AEEC1}">
      <formula1>INDIRECT(SUBSTITUTE(SUBSTITUTE(SUBSTITUTE(C28," ",""),".",""),"/",""))</formula1>
    </dataValidation>
    <dataValidation type="list" showErrorMessage="1" sqref="D29" xr:uid="{9D675823-979A-FF4D-8EBE-0B9F7A7B5E33}">
      <formula1>INDIRECT(SUBSTITUTE(SUBSTITUTE(SUBSTITUTE(C29," ",""),".",""),"/",""))</formula1>
    </dataValidation>
    <dataValidation type="list" showErrorMessage="1" sqref="D30" xr:uid="{93E91473-BB8E-1A47-9EF7-BACC25237190}">
      <formula1>INDIRECT(SUBSTITUTE(SUBSTITUTE(SUBSTITUTE(C30," ",""),".",""),"/",""))</formula1>
    </dataValidation>
    <dataValidation type="list" showErrorMessage="1" sqref="D31" xr:uid="{F050D29D-660A-0C46-9FA5-6F42CDCB5DF5}">
      <formula1>INDIRECT(SUBSTITUTE(SUBSTITUTE(SUBSTITUTE(C31," ",""),".",""),"/",""))</formula1>
    </dataValidation>
    <dataValidation type="list" showErrorMessage="1" sqref="D32" xr:uid="{A3D9810F-250F-7B43-A72C-A481CB8F586B}">
      <formula1>INDIRECT(SUBSTITUTE(SUBSTITUTE(SUBSTITUTE(C32," ",""),".",""),"/",""))</formula1>
    </dataValidation>
    <dataValidation type="list" showErrorMessage="1" sqref="D33" xr:uid="{61ACDA16-DA5A-0A48-A61B-E9F806343390}">
      <formula1>INDIRECT(SUBSTITUTE(SUBSTITUTE(SUBSTITUTE(C33," ",""),".",""),"/",""))</formula1>
    </dataValidation>
    <dataValidation type="list" showErrorMessage="1" sqref="D34" xr:uid="{712EC1C0-1DDF-0B48-81EC-5EAE78A0D857}">
      <formula1>INDIRECT(SUBSTITUTE(SUBSTITUTE(SUBSTITUTE(C34," ",""),".",""),"/",""))</formula1>
    </dataValidation>
    <dataValidation type="list" showErrorMessage="1" sqref="D35" xr:uid="{353B8DA0-2C58-AA4E-B085-4E0F203CF07F}">
      <formula1>INDIRECT(SUBSTITUTE(SUBSTITUTE(SUBSTITUTE(C35," ",""),".",""),"/",""))</formula1>
    </dataValidation>
    <dataValidation type="list" showErrorMessage="1" sqref="D36" xr:uid="{6D022E99-3381-0E4C-B1CA-FAABC4BAE04A}">
      <formula1>INDIRECT(SUBSTITUTE(SUBSTITUTE(SUBSTITUTE(C36," ",""),".",""),"/",""))</formula1>
    </dataValidation>
    <dataValidation type="list" showErrorMessage="1" sqref="D37" xr:uid="{2B398DA6-68F1-C044-8277-9D91F2719C5A}">
      <formula1>INDIRECT(SUBSTITUTE(SUBSTITUTE(SUBSTITUTE(C37," ",""),".",""),"/",""))</formula1>
    </dataValidation>
    <dataValidation type="list" showErrorMessage="1" sqref="D38" xr:uid="{1CBA8A53-B2DD-804C-A01E-1574AFD5B2EC}">
      <formula1>INDIRECT(SUBSTITUTE(SUBSTITUTE(SUBSTITUTE(C38," ",""),".",""),"/",""))</formula1>
    </dataValidation>
    <dataValidation type="list" showErrorMessage="1" sqref="D39" xr:uid="{6C2B1551-7DBC-2F4E-98D7-22A35B8219AD}">
      <formula1>INDIRECT(SUBSTITUTE(SUBSTITUTE(SUBSTITUTE(C39," ",""),".",""),"/",""))</formula1>
    </dataValidation>
    <dataValidation type="list" showErrorMessage="1" sqref="D40" xr:uid="{ED43605E-324C-FA4E-941A-696858C2A658}">
      <formula1>INDIRECT(SUBSTITUTE(SUBSTITUTE(SUBSTITUTE(C40," ",""),".",""),"/",""))</formula1>
    </dataValidation>
    <dataValidation type="list" showErrorMessage="1" sqref="D41" xr:uid="{AE502C57-3CCB-7044-B71D-5B9121DDBCFC}">
      <formula1>INDIRECT(SUBSTITUTE(SUBSTITUTE(SUBSTITUTE(C41," ",""),".",""),"/",""))</formula1>
    </dataValidation>
    <dataValidation type="list" showErrorMessage="1" sqref="D42" xr:uid="{CAB0774A-EEFD-1046-A009-20C1337569FF}">
      <formula1>INDIRECT(SUBSTITUTE(SUBSTITUTE(SUBSTITUTE(C42," ",""),".",""),"/",""))</formula1>
    </dataValidation>
    <dataValidation type="list" showErrorMessage="1" sqref="D43" xr:uid="{09884788-838D-C647-8F81-F7681043479E}">
      <formula1>INDIRECT(SUBSTITUTE(SUBSTITUTE(SUBSTITUTE(C43," ",""),".",""),"/",""))</formula1>
    </dataValidation>
    <dataValidation type="list" showErrorMessage="1" sqref="D44" xr:uid="{7E5CA181-6DE4-D64C-A963-D536F46E2818}">
      <formula1>INDIRECT(SUBSTITUTE(SUBSTITUTE(SUBSTITUTE(C44," ",""),".",""),"/",""))</formula1>
    </dataValidation>
    <dataValidation type="list" showErrorMessage="1" sqref="D45" xr:uid="{83C55F60-10C8-BB46-AF7C-846CED696845}">
      <formula1>INDIRECT(SUBSTITUTE(SUBSTITUTE(SUBSTITUTE(C45," ",""),".",""),"/",""))</formula1>
    </dataValidation>
    <dataValidation type="list" showErrorMessage="1" sqref="D46" xr:uid="{2D36474F-A67F-184E-919B-2D6B7AED0F18}">
      <formula1>INDIRECT(SUBSTITUTE(SUBSTITUTE(SUBSTITUTE(C46," ",""),".",""),"/",""))</formula1>
    </dataValidation>
    <dataValidation type="list" showErrorMessage="1" sqref="D47" xr:uid="{7DD67AF8-EC51-044C-B38C-907D6AFED07C}">
      <formula1>INDIRECT(SUBSTITUTE(SUBSTITUTE(SUBSTITUTE(C47," ",""),".",""),"/",""))</formula1>
    </dataValidation>
    <dataValidation type="list" showErrorMessage="1" sqref="D48" xr:uid="{C1D0B6F4-8BAC-A240-B03B-88E03A7C5694}">
      <formula1>INDIRECT(SUBSTITUTE(SUBSTITUTE(SUBSTITUTE(C48," ",""),".",""),"/",""))</formula1>
    </dataValidation>
    <dataValidation type="list" showErrorMessage="1" sqref="D49" xr:uid="{289DF3CA-4822-9346-97C1-CCBD2F458FD3}">
      <formula1>INDIRECT(SUBSTITUTE(SUBSTITUTE(SUBSTITUTE(C49," ",""),".",""),"/",""))</formula1>
    </dataValidation>
    <dataValidation type="list" showErrorMessage="1" sqref="D50" xr:uid="{B0E720A9-075E-374C-959D-BB983EF5E246}">
      <formula1>INDIRECT(SUBSTITUTE(SUBSTITUTE(SUBSTITUTE(C50," ",""),".",""),"/",""))</formula1>
    </dataValidation>
    <dataValidation type="list" showErrorMessage="1" sqref="D51" xr:uid="{6AD08C3A-4CED-1048-A29D-00C06447A385}">
      <formula1>INDIRECT(SUBSTITUTE(SUBSTITUTE(SUBSTITUTE(C51," ",""),".",""),"/",""))</formula1>
    </dataValidation>
    <dataValidation type="list" showErrorMessage="1" sqref="D52" xr:uid="{4756C4BA-3234-6343-B124-2B7EB5901E1C}">
      <formula1>INDIRECT(SUBSTITUTE(SUBSTITUTE(SUBSTITUTE(C52," ",""),".",""),"/",""))</formula1>
    </dataValidation>
    <dataValidation type="list" showErrorMessage="1" sqref="D53" xr:uid="{E6BD87DA-4153-654A-A256-89D76F1452AA}">
      <formula1>INDIRECT(SUBSTITUTE(SUBSTITUTE(SUBSTITUTE(C53," ",""),".",""),"/",""))</formula1>
    </dataValidation>
    <dataValidation type="list" showErrorMessage="1" sqref="D54" xr:uid="{29968C7F-C657-4443-AAA4-EC12A21EEF40}">
      <formula1>INDIRECT(SUBSTITUTE(SUBSTITUTE(SUBSTITUTE(C54," ",""),".",""),"/",""))</formula1>
    </dataValidation>
    <dataValidation type="list" showErrorMessage="1" sqref="D55" xr:uid="{7D0FA395-F632-9040-ADD3-1C2695F2FA8E}">
      <formula1>INDIRECT(SUBSTITUTE(SUBSTITUTE(SUBSTITUTE(C55," ",""),".",""),"/",""))</formula1>
    </dataValidation>
    <dataValidation type="list" showErrorMessage="1" sqref="D56" xr:uid="{98AE9056-11AD-5A4C-B77C-F928F8A6277C}">
      <formula1>INDIRECT(SUBSTITUTE(SUBSTITUTE(SUBSTITUTE(C56," ",""),".",""),"/",""))</formula1>
    </dataValidation>
    <dataValidation type="list" showErrorMessage="1" sqref="D57" xr:uid="{5E07B36F-2B3E-D142-8064-410C66BFEF5C}">
      <formula1>INDIRECT(SUBSTITUTE(SUBSTITUTE(SUBSTITUTE(C57," ",""),".",""),"/",""))</formula1>
    </dataValidation>
    <dataValidation type="list" showErrorMessage="1" sqref="D58" xr:uid="{755C8138-04E5-1442-8D83-BBDB4FC8CB90}">
      <formula1>INDIRECT(SUBSTITUTE(SUBSTITUTE(SUBSTITUTE(C58," ",""),".",""),"/",""))</formula1>
    </dataValidation>
    <dataValidation type="list" showErrorMessage="1" sqref="D59" xr:uid="{02C1315C-686B-E648-A1EB-746BC9DE53C0}">
      <formula1>INDIRECT(SUBSTITUTE(SUBSTITUTE(SUBSTITUTE(C59," ",""),".",""),"/",""))</formula1>
    </dataValidation>
    <dataValidation type="list" showErrorMessage="1" sqref="D60" xr:uid="{94AB2034-D44E-FF48-B0F4-2B606CB27F27}">
      <formula1>INDIRECT(SUBSTITUTE(SUBSTITUTE(SUBSTITUTE(C60," ",""),".",""),"/",""))</formula1>
    </dataValidation>
    <dataValidation type="list" showErrorMessage="1" sqref="D61" xr:uid="{C10383CC-BA5E-DF4C-8DFB-5C56AEF8A6C5}">
      <formula1>INDIRECT(SUBSTITUTE(SUBSTITUTE(SUBSTITUTE(C61," ",""),".",""),"/",""))</formula1>
    </dataValidation>
    <dataValidation type="list" showErrorMessage="1" sqref="D62" xr:uid="{B02DB9E8-29F2-C749-80B9-82C7BA7659A6}">
      <formula1>INDIRECT(SUBSTITUTE(SUBSTITUTE(SUBSTITUTE(C62," ",""),".",""),"/",""))</formula1>
    </dataValidation>
    <dataValidation type="list" showErrorMessage="1" sqref="D63" xr:uid="{B9B4223C-A39E-5943-A1DC-8CB10C239FAB}">
      <formula1>INDIRECT(SUBSTITUTE(SUBSTITUTE(SUBSTITUTE(C63," ",""),".",""),"/",""))</formula1>
    </dataValidation>
    <dataValidation type="list" showErrorMessage="1" sqref="D64" xr:uid="{513DC877-CF12-1140-AEDF-C33829F70071}">
      <formula1>INDIRECT(SUBSTITUTE(SUBSTITUTE(SUBSTITUTE(C64," ",""),".",""),"/",""))</formula1>
    </dataValidation>
    <dataValidation type="list" showErrorMessage="1" sqref="D65" xr:uid="{A28D7825-8E76-2443-AE6B-200089DBCD3D}">
      <formula1>INDIRECT(SUBSTITUTE(SUBSTITUTE(SUBSTITUTE(C65," ",""),".",""),"/",""))</formula1>
    </dataValidation>
    <dataValidation type="list" showErrorMessage="1" sqref="D66" xr:uid="{44B01E78-3E4A-9A43-AE75-337C4EFB7F67}">
      <formula1>INDIRECT(SUBSTITUTE(SUBSTITUTE(SUBSTITUTE(C66," ",""),".",""),"/",""))</formula1>
    </dataValidation>
    <dataValidation type="list" showErrorMessage="1" sqref="D67" xr:uid="{D6AB5D23-02F9-8045-9C30-360467213038}">
      <formula1>INDIRECT(SUBSTITUTE(SUBSTITUTE(SUBSTITUTE(C67," ",""),".",""),"/",""))</formula1>
    </dataValidation>
    <dataValidation type="list" showErrorMessage="1" sqref="D68" xr:uid="{35BB90D7-F460-DF4D-B4BF-24C69BC2B543}">
      <formula1>INDIRECT(SUBSTITUTE(SUBSTITUTE(SUBSTITUTE(C68," ",""),".",""),"/",""))</formula1>
    </dataValidation>
    <dataValidation type="list" showErrorMessage="1" sqref="D69" xr:uid="{8D0F2343-1A95-C249-998D-5F2C8D654533}">
      <formula1>INDIRECT(SUBSTITUTE(SUBSTITUTE(SUBSTITUTE(C69," ",""),".",""),"/",""))</formula1>
    </dataValidation>
    <dataValidation type="list" showErrorMessage="1" sqref="D70" xr:uid="{6C6985B7-9A52-F74D-B120-ED5C1913C54D}">
      <formula1>INDIRECT(SUBSTITUTE(SUBSTITUTE(SUBSTITUTE(C70," ",""),".",""),"/",""))</formula1>
    </dataValidation>
    <dataValidation type="list" showErrorMessage="1" sqref="D71" xr:uid="{7A698B93-1F13-3248-AB37-DA68379DC643}">
      <formula1>INDIRECT(SUBSTITUTE(SUBSTITUTE(SUBSTITUTE(C71," ",""),".",""),"/",""))</formula1>
    </dataValidation>
    <dataValidation type="list" showErrorMessage="1" sqref="D72" xr:uid="{AA7ED765-DE39-134B-9450-9A2E697E1E4B}">
      <formula1>INDIRECT(SUBSTITUTE(SUBSTITUTE(SUBSTITUTE(C72," ",""),".",""),"/",""))</formula1>
    </dataValidation>
    <dataValidation type="list" showErrorMessage="1" sqref="D73" xr:uid="{586A0251-7D4F-A441-AF25-B299890F0785}">
      <formula1>INDIRECT(SUBSTITUTE(SUBSTITUTE(SUBSTITUTE(C73," ",""),".",""),"/",""))</formula1>
    </dataValidation>
    <dataValidation type="list" showErrorMessage="1" sqref="D74" xr:uid="{6CB5DE13-E92B-BA4E-A0FB-0FEEAE48F1D6}">
      <formula1>INDIRECT(SUBSTITUTE(SUBSTITUTE(SUBSTITUTE(C74," ",""),".",""),"/",""))</formula1>
    </dataValidation>
    <dataValidation type="list" showErrorMessage="1" sqref="D75" xr:uid="{ED5D6128-460C-4447-9F08-B6A9B516760C}">
      <formula1>INDIRECT(SUBSTITUTE(SUBSTITUTE(SUBSTITUTE(C75," ",""),".",""),"/",""))</formula1>
    </dataValidation>
    <dataValidation type="list" showErrorMessage="1" sqref="D76" xr:uid="{6EF192E8-31FB-7341-A666-9B5971377AC3}">
      <formula1>INDIRECT(SUBSTITUTE(SUBSTITUTE(SUBSTITUTE(C76," ",""),".",""),"/",""))</formula1>
    </dataValidation>
    <dataValidation type="list" showErrorMessage="1" sqref="D77" xr:uid="{E8628F17-082B-CE47-A2F8-3D482DBB07CB}">
      <formula1>INDIRECT(SUBSTITUTE(SUBSTITUTE(SUBSTITUTE(C77," ",""),".",""),"/",""))</formula1>
    </dataValidation>
    <dataValidation type="list" showErrorMessage="1" sqref="D78" xr:uid="{8A9C1E73-EF43-EE4A-AE63-75B62D8EC877}">
      <formula1>INDIRECT(SUBSTITUTE(SUBSTITUTE(SUBSTITUTE(C78," ",""),".",""),"/",""))</formula1>
    </dataValidation>
    <dataValidation type="list" showErrorMessage="1" sqref="D79" xr:uid="{CC1DC67E-191A-4C4C-AE7A-7858402D3E77}">
      <formula1>INDIRECT(SUBSTITUTE(SUBSTITUTE(SUBSTITUTE(C79," ",""),".",""),"/",""))</formula1>
    </dataValidation>
    <dataValidation type="list" showErrorMessage="1" sqref="D80" xr:uid="{64AB2842-0A85-C547-9C6B-DF7ED45A1103}">
      <formula1>INDIRECT(SUBSTITUTE(SUBSTITUTE(SUBSTITUTE(C80," ",""),".",""),"/",""))</formula1>
    </dataValidation>
    <dataValidation type="list" showErrorMessage="1" sqref="D81" xr:uid="{9E6DEB73-A60E-C741-A333-4A62AA37147A}">
      <formula1>INDIRECT(SUBSTITUTE(SUBSTITUTE(SUBSTITUTE(C81," ",""),".",""),"/",""))</formula1>
    </dataValidation>
    <dataValidation type="list" showErrorMessage="1" sqref="D82" xr:uid="{CA1898DF-7BCC-6B46-A158-12289D7A649F}">
      <formula1>INDIRECT(SUBSTITUTE(SUBSTITUTE(SUBSTITUTE(C82," ",""),".",""),"/",""))</formula1>
    </dataValidation>
    <dataValidation type="list" showErrorMessage="1" sqref="D83" xr:uid="{7211F23E-70AE-8542-AC65-BD5BCFF5B84A}">
      <formula1>INDIRECT(SUBSTITUTE(SUBSTITUTE(SUBSTITUTE(C83," ",""),".",""),"/",""))</formula1>
    </dataValidation>
    <dataValidation type="list" showErrorMessage="1" sqref="D84" xr:uid="{810D2199-E2EF-7049-9E66-B999248326DB}">
      <formula1>INDIRECT(SUBSTITUTE(SUBSTITUTE(SUBSTITUTE(C84," ",""),".",""),"/",""))</formula1>
    </dataValidation>
    <dataValidation type="list" showErrorMessage="1" sqref="D85" xr:uid="{ECD5FB6A-E0AE-CF42-BC6E-F9E48944DDEA}">
      <formula1>INDIRECT(SUBSTITUTE(SUBSTITUTE(SUBSTITUTE(C85," ",""),".",""),"/",""))</formula1>
    </dataValidation>
    <dataValidation type="list" showErrorMessage="1" sqref="D86" xr:uid="{43F08402-1303-634A-9CB3-A0AE2E3A2BCD}">
      <formula1>INDIRECT(SUBSTITUTE(SUBSTITUTE(SUBSTITUTE(C86," ",""),".",""),"/",""))</formula1>
    </dataValidation>
    <dataValidation type="list" showErrorMessage="1" sqref="D87" xr:uid="{E0EF7C09-45C4-2446-AF62-74812B9A9D6A}">
      <formula1>INDIRECT(SUBSTITUTE(SUBSTITUTE(SUBSTITUTE(C87," ",""),".",""),"/",""))</formula1>
    </dataValidation>
    <dataValidation type="list" showErrorMessage="1" sqref="D88" xr:uid="{0395F2A1-81C0-9E40-8DA4-A7438925F26D}">
      <formula1>INDIRECT(SUBSTITUTE(SUBSTITUTE(SUBSTITUTE(C88," ",""),".",""),"/",""))</formula1>
    </dataValidation>
    <dataValidation type="list" showErrorMessage="1" sqref="D89" xr:uid="{2E2F05DD-C517-0D4D-A3BB-7557BA67A136}">
      <formula1>INDIRECT(SUBSTITUTE(SUBSTITUTE(SUBSTITUTE(C89," ",""),".",""),"/",""))</formula1>
    </dataValidation>
    <dataValidation type="list" showErrorMessage="1" sqref="D90" xr:uid="{EF684375-DE89-A94E-99B5-3E3C8693660D}">
      <formula1>INDIRECT(SUBSTITUTE(SUBSTITUTE(SUBSTITUTE(C90," ",""),".",""),"/",""))</formula1>
    </dataValidation>
    <dataValidation type="list" showErrorMessage="1" sqref="D91" xr:uid="{AA4BFE85-F77C-EC4C-BA2B-4E3C57322308}">
      <formula1>INDIRECT(SUBSTITUTE(SUBSTITUTE(SUBSTITUTE(C91," ",""),".",""),"/",""))</formula1>
    </dataValidation>
    <dataValidation type="list" showErrorMessage="1" sqref="D92" xr:uid="{528AAC89-855A-7D41-BDA5-65BE03943C4C}">
      <formula1>INDIRECT(SUBSTITUTE(SUBSTITUTE(SUBSTITUTE(C92," ",""),".",""),"/",""))</formula1>
    </dataValidation>
    <dataValidation type="list" showErrorMessage="1" sqref="D93" xr:uid="{9DB14CBB-E495-D740-8D1A-D1DD7060CAB4}">
      <formula1>INDIRECT(SUBSTITUTE(SUBSTITUTE(SUBSTITUTE(C93," ",""),".",""),"/",""))</formula1>
    </dataValidation>
    <dataValidation type="list" showErrorMessage="1" sqref="D94" xr:uid="{85AC68A0-1FCB-6444-B910-04DAA4980A42}">
      <formula1>INDIRECT(SUBSTITUTE(SUBSTITUTE(SUBSTITUTE(C94," ",""),".",""),"/",""))</formula1>
    </dataValidation>
    <dataValidation type="list" showErrorMessage="1" sqref="D95" xr:uid="{681A1B4B-A89F-8D4C-B135-1B504CEFB595}">
      <formula1>INDIRECT(SUBSTITUTE(SUBSTITUTE(SUBSTITUTE(C95," ",""),".",""),"/",""))</formula1>
    </dataValidation>
    <dataValidation type="list" showErrorMessage="1" sqref="D96" xr:uid="{5C8E9816-134E-2340-B8A8-B44B0F219532}">
      <formula1>INDIRECT(SUBSTITUTE(SUBSTITUTE(SUBSTITUTE(C96," ",""),".",""),"/",""))</formula1>
    </dataValidation>
    <dataValidation type="list" showErrorMessage="1" sqref="D97" xr:uid="{8C7D6D43-AB10-8248-BD86-2268434B153E}">
      <formula1>INDIRECT(SUBSTITUTE(SUBSTITUTE(SUBSTITUTE(C97," ",""),".",""),"/",""))</formula1>
    </dataValidation>
    <dataValidation type="list" showErrorMessage="1" sqref="D98" xr:uid="{2E878AED-8180-8542-980A-A81EED8DC70C}">
      <formula1>INDIRECT(SUBSTITUTE(SUBSTITUTE(SUBSTITUTE(C98," ",""),".",""),"/",""))</formula1>
    </dataValidation>
    <dataValidation type="list" showErrorMessage="1" sqref="D99" xr:uid="{EC00DC3B-2528-DF49-AC02-E80C6DD06562}">
      <formula1>INDIRECT(SUBSTITUTE(SUBSTITUTE(SUBSTITUTE(C99," ",""),".",""),"/",""))</formula1>
    </dataValidation>
    <dataValidation type="list" showErrorMessage="1" sqref="D100" xr:uid="{683DDB86-FA1C-5246-8433-2605ABA3233B}">
      <formula1>INDIRECT(SUBSTITUTE(SUBSTITUTE(SUBSTITUTE(C100," ",""),".",""),"/",""))</formula1>
    </dataValidation>
    <dataValidation type="list" showErrorMessage="1" sqref="D101" xr:uid="{95BEAF56-CDC2-B34A-BFF5-5BA1741DA5CC}">
      <formula1>INDIRECT(SUBSTITUTE(SUBSTITUTE(SUBSTITUTE(C101," ",""),".",""),"/",""))</formula1>
    </dataValidation>
    <dataValidation type="list" showErrorMessage="1" sqref="D102" xr:uid="{16DF6D36-8C65-7540-92DB-6B84591C5CC8}">
      <formula1>INDIRECT(SUBSTITUTE(SUBSTITUTE(SUBSTITUTE(C102," ",""),".",""),"/",""))</formula1>
    </dataValidation>
    <dataValidation type="list" showErrorMessage="1" sqref="D103" xr:uid="{093B3ABC-B67C-3341-B173-C9538F57C7E5}">
      <formula1>INDIRECT(SUBSTITUTE(SUBSTITUTE(SUBSTITUTE(C103," ",""),".",""),"/",""))</formula1>
    </dataValidation>
    <dataValidation type="list" showErrorMessage="1" sqref="D104" xr:uid="{CBD956D6-2212-8546-92D9-8217E551D452}">
      <formula1>INDIRECT(SUBSTITUTE(SUBSTITUTE(SUBSTITUTE(C104," ",""),".",""),"/",""))</formula1>
    </dataValidation>
    <dataValidation type="list" showErrorMessage="1" sqref="F5:F104" xr:uid="{C8D54FC9-5A70-C540-B3E7-7D571B3A2799}">
      <formula1>ExpansionDegrees</formula1>
    </dataValidation>
    <dataValidation type="list" showErrorMessage="1" sqref="G5:G104" xr:uid="{B800FC95-E2CE-F44B-A4D8-44BC90CC8489}">
      <formula1>LightingQuality</formula1>
    </dataValidation>
    <dataValidation type="list" showErrorMessage="1" sqref="L5:L104" xr:uid="{87859B0B-BB5A-B04E-90E7-2F5A7AD01FC6}">
      <formula1>Boolean</formula1>
    </dataValidation>
    <dataValidation type="list" showErrorMessage="1" sqref="O5:O104" xr:uid="{33759173-E8E2-6740-9B92-4744F66A59F7}">
      <formula1>CalculationBase_NoMeter</formula1>
    </dataValidation>
    <dataValidation type="textLength" operator="lessThanOrEqual" allowBlank="1" showInputMessage="1" showErrorMessage="1" prompt="Max. 250 Zeichen." sqref="B5:B105" xr:uid="{1B9A6A82-F952-954C-8ED5-979AA072F79A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F123-A65A-0240-A3E7-64CF4A16B029}">
  <dimension ref="A1:O25"/>
  <sheetViews>
    <sheetView zoomScale="85" zoomScaleNormal="85" workbookViewId="0"/>
  </sheetViews>
  <sheetFormatPr baseColWidth="10" defaultColWidth="9.1640625" defaultRowHeight="15" customHeight="1" x14ac:dyDescent="0.15"/>
  <cols>
    <col min="1" max="1" width="8.5" style="1" customWidth="1"/>
    <col min="2" max="2" width="27.1640625" style="1" customWidth="1"/>
    <col min="3" max="3" width="29.83203125" style="1" customWidth="1"/>
    <col min="4" max="4" width="12.5" style="1" customWidth="1"/>
    <col min="5" max="5" width="16.5" style="1" customWidth="1"/>
    <col min="6" max="6" width="14.83203125" style="1" customWidth="1"/>
    <col min="7" max="7" width="15.83203125" style="1" customWidth="1"/>
    <col min="8" max="10" width="9.6640625" style="1" customWidth="1"/>
    <col min="11" max="11" width="9.1640625" style="1"/>
    <col min="12" max="12" width="18" style="1" customWidth="1"/>
    <col min="13" max="13" width="15" style="1" customWidth="1"/>
    <col min="14" max="14" width="20.83203125" style="1" customWidth="1"/>
    <col min="15" max="15" width="16.83203125" style="1" customWidth="1"/>
    <col min="16" max="16384" width="9.1640625" style="1"/>
  </cols>
  <sheetData>
    <row r="1" spans="1:15" s="197" customFormat="1" ht="15" customHeight="1" thickBot="1" x14ac:dyDescent="0.2">
      <c r="A1" s="177" t="s">
        <v>134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</row>
    <row r="2" spans="1:15" ht="15" customHeight="1" x14ac:dyDescent="0.15">
      <c r="H2" s="24"/>
    </row>
    <row r="3" spans="1:15" ht="15" customHeight="1" x14ac:dyDescent="0.15">
      <c r="A3" s="168" t="s">
        <v>343</v>
      </c>
      <c r="B3" s="183"/>
      <c r="C3" s="182"/>
      <c r="D3" s="182"/>
      <c r="E3" s="182"/>
      <c r="H3" s="24"/>
    </row>
    <row r="4" spans="1:15" ht="15" customHeight="1" x14ac:dyDescent="0.15">
      <c r="A4" s="159" t="s">
        <v>193</v>
      </c>
      <c r="B4" s="207"/>
      <c r="C4" s="213"/>
      <c r="D4" s="214"/>
      <c r="E4" s="215"/>
      <c r="H4" s="24"/>
    </row>
    <row r="5" spans="1:15" ht="62.25" customHeight="1" x14ac:dyDescent="0.15">
      <c r="A5" s="155" t="s">
        <v>18</v>
      </c>
      <c r="B5" s="208"/>
      <c r="C5" s="210"/>
      <c r="D5" s="211"/>
      <c r="E5" s="212"/>
      <c r="H5" s="24"/>
    </row>
    <row r="6" spans="1:15" ht="62.25" customHeight="1" x14ac:dyDescent="0.15">
      <c r="A6" s="155" t="s">
        <v>91</v>
      </c>
      <c r="B6" s="208"/>
      <c r="C6" s="210"/>
      <c r="D6" s="211"/>
      <c r="E6" s="212"/>
      <c r="H6" s="24"/>
    </row>
    <row r="7" spans="1:15" ht="15" customHeight="1" x14ac:dyDescent="0.15">
      <c r="H7" s="24"/>
    </row>
    <row r="8" spans="1:15" ht="15" customHeight="1" x14ac:dyDescent="0.15">
      <c r="I8" s="209" t="s">
        <v>67</v>
      </c>
      <c r="J8" s="205"/>
      <c r="K8" s="206"/>
    </row>
    <row r="9" spans="1:15" s="34" customFormat="1" ht="34.5" customHeight="1" x14ac:dyDescent="0.15">
      <c r="A9" s="119" t="s">
        <v>16</v>
      </c>
      <c r="B9" s="128" t="s">
        <v>27</v>
      </c>
      <c r="C9" s="128" t="s">
        <v>161</v>
      </c>
      <c r="D9" s="128" t="s">
        <v>21</v>
      </c>
      <c r="E9" s="128" t="s">
        <v>162</v>
      </c>
      <c r="F9" s="128" t="s">
        <v>56</v>
      </c>
      <c r="G9" s="128" t="s">
        <v>53</v>
      </c>
      <c r="H9" s="128" t="s">
        <v>201</v>
      </c>
      <c r="I9" s="128" t="s">
        <v>68</v>
      </c>
      <c r="J9" s="128" t="s">
        <v>69</v>
      </c>
      <c r="K9" s="128" t="s">
        <v>70</v>
      </c>
      <c r="L9" s="119" t="s">
        <v>204</v>
      </c>
      <c r="M9" s="119" t="s">
        <v>205</v>
      </c>
      <c r="N9" s="119" t="s">
        <v>196</v>
      </c>
      <c r="O9" s="119" t="s">
        <v>197</v>
      </c>
    </row>
    <row r="10" spans="1:15" ht="15" customHeight="1" x14ac:dyDescent="0.15">
      <c r="G10" s="21"/>
      <c r="H10" s="35"/>
      <c r="I10" s="24"/>
      <c r="J10" s="24"/>
      <c r="K10" s="24"/>
    </row>
    <row r="11" spans="1:15" ht="15" customHeight="1" x14ac:dyDescent="0.15">
      <c r="G11" s="21"/>
      <c r="H11" s="35"/>
      <c r="I11" s="24"/>
      <c r="J11" s="24"/>
      <c r="K11" s="24"/>
    </row>
    <row r="12" spans="1:15" ht="15" customHeight="1" x14ac:dyDescent="0.15">
      <c r="G12" s="21"/>
      <c r="H12" s="35"/>
      <c r="I12" s="24"/>
      <c r="J12" s="24"/>
      <c r="K12" s="24"/>
    </row>
    <row r="13" spans="1:15" ht="15" customHeight="1" x14ac:dyDescent="0.15">
      <c r="G13" s="21"/>
      <c r="H13" s="35"/>
      <c r="I13" s="24"/>
      <c r="J13" s="24"/>
      <c r="K13" s="24"/>
    </row>
    <row r="14" spans="1:15" ht="15" customHeight="1" x14ac:dyDescent="0.15">
      <c r="G14" s="21"/>
      <c r="H14" s="35"/>
      <c r="I14" s="24"/>
      <c r="J14" s="24"/>
      <c r="K14" s="24"/>
    </row>
    <row r="15" spans="1:15" ht="15" customHeight="1" x14ac:dyDescent="0.15">
      <c r="G15" s="21"/>
      <c r="H15" s="35"/>
      <c r="I15" s="24"/>
      <c r="J15" s="24"/>
      <c r="K15" s="24"/>
    </row>
    <row r="16" spans="1:15" ht="15" customHeight="1" x14ac:dyDescent="0.15">
      <c r="G16" s="21"/>
      <c r="H16" s="35"/>
      <c r="I16" s="24"/>
      <c r="J16" s="24"/>
      <c r="K16" s="24"/>
    </row>
    <row r="17" spans="7:11" ht="15" customHeight="1" x14ac:dyDescent="0.15">
      <c r="G17" s="21"/>
      <c r="H17" s="35"/>
      <c r="I17" s="24"/>
      <c r="J17" s="24"/>
      <c r="K17" s="24"/>
    </row>
    <row r="18" spans="7:11" ht="15" customHeight="1" x14ac:dyDescent="0.15">
      <c r="G18" s="21"/>
      <c r="H18" s="35"/>
      <c r="I18" s="24"/>
      <c r="J18" s="24"/>
      <c r="K18" s="24"/>
    </row>
    <row r="19" spans="7:11" ht="15" customHeight="1" x14ac:dyDescent="0.15">
      <c r="G19" s="21"/>
      <c r="H19" s="35"/>
      <c r="I19" s="24"/>
      <c r="J19" s="24"/>
      <c r="K19" s="24"/>
    </row>
    <row r="20" spans="7:11" ht="15" customHeight="1" x14ac:dyDescent="0.15">
      <c r="G20" s="21"/>
      <c r="H20" s="35"/>
      <c r="I20" s="24"/>
      <c r="J20" s="24"/>
      <c r="K20" s="24"/>
    </row>
    <row r="21" spans="7:11" ht="15" customHeight="1" x14ac:dyDescent="0.15">
      <c r="G21" s="21"/>
      <c r="H21" s="35"/>
      <c r="I21" s="24"/>
      <c r="J21" s="24"/>
      <c r="K21" s="24"/>
    </row>
    <row r="22" spans="7:11" ht="15" customHeight="1" x14ac:dyDescent="0.15">
      <c r="G22" s="21"/>
      <c r="H22" s="35"/>
      <c r="I22" s="24"/>
      <c r="J22" s="24"/>
      <c r="K22" s="24"/>
    </row>
    <row r="23" spans="7:11" ht="15" customHeight="1" x14ac:dyDescent="0.15">
      <c r="G23" s="21"/>
      <c r="H23" s="35"/>
      <c r="I23" s="24"/>
      <c r="J23" s="24"/>
      <c r="K23" s="24"/>
    </row>
    <row r="24" spans="7:11" ht="15" customHeight="1" x14ac:dyDescent="0.15">
      <c r="G24" s="21"/>
      <c r="H24" s="35"/>
      <c r="I24" s="24"/>
      <c r="J24" s="24"/>
      <c r="K24" s="24"/>
    </row>
    <row r="25" spans="7:11" ht="15" customHeight="1" x14ac:dyDescent="0.15">
      <c r="G25" s="21"/>
      <c r="H25" s="35"/>
      <c r="I25" s="24"/>
      <c r="J25" s="24"/>
      <c r="K25" s="24"/>
    </row>
  </sheetData>
  <mergeCells count="10">
    <mergeCell ref="A1:XFD1"/>
    <mergeCell ref="I8:K8"/>
    <mergeCell ref="C6:E6"/>
    <mergeCell ref="A4:B4"/>
    <mergeCell ref="A5:B5"/>
    <mergeCell ref="A6:B6"/>
    <mergeCell ref="C5:E5"/>
    <mergeCell ref="C4:E4"/>
    <mergeCell ref="A3:B3"/>
    <mergeCell ref="C3:E3"/>
  </mergeCells>
  <conditionalFormatting sqref="C3">
    <cfRule type="containsBlanks" dxfId="12" priority="2">
      <formula>LEN(TRIM(C3))=0</formula>
    </cfRule>
  </conditionalFormatting>
  <conditionalFormatting sqref="A10:K109">
    <cfRule type="expression" dxfId="11" priority="1">
      <formula>AND(COUNTA($A10:$O10)&gt;0,ISBLANK(A10))</formula>
    </cfRule>
  </conditionalFormatting>
  <dataValidations count="111">
    <dataValidation type="textLength" operator="lessThan" allowBlank="1" showInputMessage="1" showErrorMessage="1" prompt="Max. 220 Zeichen. BItte ohne Sonderzeichen wie  ;  /  " sqref="F5:F6" xr:uid="{EF541534-B6A4-7341-972B-471A17ED2B4F}">
      <formula1>220</formula1>
    </dataValidation>
    <dataValidation type="list" showErrorMessage="1" sqref="C3" xr:uid="{14CD498B-4FF7-774F-8C8D-AC81F11823A4}">
      <formula1>GeneralCondition</formula1>
    </dataValidation>
    <dataValidation type="list" allowBlank="1" showErrorMessage="1" sqref="C4" xr:uid="{56110900-BCB7-E845-858F-D61D3FB2D8FE}">
      <formula1>Prioritization</formula1>
    </dataValidation>
    <dataValidation type="textLength" operator="lessThanOrEqual" allowBlank="1" showInputMessage="1" showErrorMessage="1" prompt="Max. 1000 Zeichen." sqref="C5" xr:uid="{EE7698E3-6BF6-B442-95F7-A42AB293E017}">
      <formula1>1000</formula1>
    </dataValidation>
    <dataValidation type="textLength" operator="lessThanOrEqual" allowBlank="1" showInputMessage="1" showErrorMessage="1" prompt="Max. 1000 Zeichen." sqref="C6" xr:uid="{7C869545-AE46-8F40-9B5C-D70DA88DE20E}">
      <formula1>1000</formula1>
    </dataValidation>
    <dataValidation type="list" showInputMessage="1" prompt="Max. 5 Zeichen." sqref="A10:A109" xr:uid="{7E231B1A-5A2C-584E-B532-F48A53A2F527}">
      <formula1>WS15ExpertCodes</formula1>
    </dataValidation>
    <dataValidation type="list" showErrorMessage="1" sqref="C10:C100" xr:uid="{E9D7070C-177B-324F-AB22-2D5651E869F1}">
      <formula1>BuildingUsageTypeSelection</formula1>
    </dataValidation>
    <dataValidation type="list" showErrorMessage="1" sqref="D10" xr:uid="{05FEFDFD-02F7-1249-8633-3093BE2C0AF7}">
      <formula1>INDIRECT(SUBSTITUTE(SUBSTITUTE(SUBSTITUTE(C10," ",""),".",""),"/",""))</formula1>
    </dataValidation>
    <dataValidation type="list" showErrorMessage="1" sqref="D11" xr:uid="{B59B58DD-87CA-A141-829B-26E3862DAE3E}">
      <formula1>INDIRECT(SUBSTITUTE(SUBSTITUTE(SUBSTITUTE(C11," ",""),".",""),"/",""))</formula1>
    </dataValidation>
    <dataValidation type="list" showErrorMessage="1" sqref="D12" xr:uid="{E1ED3E2F-75D9-264A-88A3-FD00025F5ACD}">
      <formula1>INDIRECT(SUBSTITUTE(SUBSTITUTE(SUBSTITUTE(C12," ",""),".",""),"/",""))</formula1>
    </dataValidation>
    <dataValidation type="list" showErrorMessage="1" sqref="D13" xr:uid="{596DDF5B-7ABA-7D43-8B41-1CB2B3413836}">
      <formula1>INDIRECT(SUBSTITUTE(SUBSTITUTE(SUBSTITUTE(C13," ",""),".",""),"/",""))</formula1>
    </dataValidation>
    <dataValidation type="list" showErrorMessage="1" sqref="D14" xr:uid="{99E90C36-6F02-D747-BAB2-8D9E119DD4DF}">
      <formula1>INDIRECT(SUBSTITUTE(SUBSTITUTE(SUBSTITUTE(C14," ",""),".",""),"/",""))</formula1>
    </dataValidation>
    <dataValidation type="list" showErrorMessage="1" sqref="D15" xr:uid="{8BD84C88-2FED-014A-AFE8-1A97E470BDFD}">
      <formula1>INDIRECT(SUBSTITUTE(SUBSTITUTE(SUBSTITUTE(C15," ",""),".",""),"/",""))</formula1>
    </dataValidation>
    <dataValidation type="list" showErrorMessage="1" sqref="D16" xr:uid="{ACC714A6-611A-6047-81A1-561BA795159C}">
      <formula1>INDIRECT(SUBSTITUTE(SUBSTITUTE(SUBSTITUTE(C16," ",""),".",""),"/",""))</formula1>
    </dataValidation>
    <dataValidation type="list" showErrorMessage="1" sqref="D17" xr:uid="{01B04F8D-E358-4A43-B0EE-D57E7714FB7B}">
      <formula1>INDIRECT(SUBSTITUTE(SUBSTITUTE(SUBSTITUTE(C17," ",""),".",""),"/",""))</formula1>
    </dataValidation>
    <dataValidation type="list" showErrorMessage="1" sqref="D18" xr:uid="{8EA34A1A-9680-B640-827E-1604DA732944}">
      <formula1>INDIRECT(SUBSTITUTE(SUBSTITUTE(SUBSTITUTE(C18," ",""),".",""),"/",""))</formula1>
    </dataValidation>
    <dataValidation type="list" showErrorMessage="1" sqref="D19" xr:uid="{4A6A693F-2A66-ED48-9820-69FB7D872C04}">
      <formula1>INDIRECT(SUBSTITUTE(SUBSTITUTE(SUBSTITUTE(C19," ",""),".",""),"/",""))</formula1>
    </dataValidation>
    <dataValidation type="list" showErrorMessage="1" sqref="D20" xr:uid="{CFB9535E-51B0-E64A-BD94-84A96787A901}">
      <formula1>INDIRECT(SUBSTITUTE(SUBSTITUTE(SUBSTITUTE(C20," ",""),".",""),"/",""))</formula1>
    </dataValidation>
    <dataValidation type="list" showErrorMessage="1" sqref="D21" xr:uid="{00DCEA4D-B7D4-4443-885E-26650BCAD8B5}">
      <formula1>INDIRECT(SUBSTITUTE(SUBSTITUTE(SUBSTITUTE(C21," ",""),".",""),"/",""))</formula1>
    </dataValidation>
    <dataValidation type="list" showErrorMessage="1" sqref="D22" xr:uid="{BBC2CFDB-AC4A-374B-8CC1-35E497EBC9C4}">
      <formula1>INDIRECT(SUBSTITUTE(SUBSTITUTE(SUBSTITUTE(C22," ",""),".",""),"/",""))</formula1>
    </dataValidation>
    <dataValidation type="list" showErrorMessage="1" sqref="D23" xr:uid="{FF2783AB-155B-6E4A-BD5A-0C483389EE69}">
      <formula1>INDIRECT(SUBSTITUTE(SUBSTITUTE(SUBSTITUTE(C23," ",""),".",""),"/",""))</formula1>
    </dataValidation>
    <dataValidation type="list" showErrorMessage="1" sqref="D24" xr:uid="{89EE212D-2A8F-A44E-A31A-6FBF35B47B3B}">
      <formula1>INDIRECT(SUBSTITUTE(SUBSTITUTE(SUBSTITUTE(C24," ",""),".",""),"/",""))</formula1>
    </dataValidation>
    <dataValidation type="list" showErrorMessage="1" sqref="D25" xr:uid="{6884E8EB-97FB-2942-ACE5-C2C2CA3B36B5}">
      <formula1>INDIRECT(SUBSTITUTE(SUBSTITUTE(SUBSTITUTE(C25," ",""),".",""),"/",""))</formula1>
    </dataValidation>
    <dataValidation type="list" showErrorMessage="1" sqref="D26" xr:uid="{61711C37-FE94-B94F-A095-26D841599377}">
      <formula1>INDIRECT(SUBSTITUTE(SUBSTITUTE(SUBSTITUTE(C26," ",""),".",""),"/",""))</formula1>
    </dataValidation>
    <dataValidation type="list" showErrorMessage="1" sqref="D27" xr:uid="{7AE11432-53C4-1644-9FB5-21BC888D18DE}">
      <formula1>INDIRECT(SUBSTITUTE(SUBSTITUTE(SUBSTITUTE(C27," ",""),".",""),"/",""))</formula1>
    </dataValidation>
    <dataValidation type="list" showErrorMessage="1" sqref="D28" xr:uid="{9BB6EA71-CD74-0242-819A-60EBFFF844A0}">
      <formula1>INDIRECT(SUBSTITUTE(SUBSTITUTE(SUBSTITUTE(C28," ",""),".",""),"/",""))</formula1>
    </dataValidation>
    <dataValidation type="list" showErrorMessage="1" sqref="D29" xr:uid="{AA1ADF68-CD4F-C442-B856-57B785F649BE}">
      <formula1>INDIRECT(SUBSTITUTE(SUBSTITUTE(SUBSTITUTE(C29," ",""),".",""),"/",""))</formula1>
    </dataValidation>
    <dataValidation type="list" showErrorMessage="1" sqref="D30" xr:uid="{F794DE6F-6292-7949-A88D-86BF48F9E951}">
      <formula1>INDIRECT(SUBSTITUTE(SUBSTITUTE(SUBSTITUTE(C30," ",""),".",""),"/",""))</formula1>
    </dataValidation>
    <dataValidation type="list" showErrorMessage="1" sqref="D31" xr:uid="{EDF6C026-7B85-A244-9068-BFE4513A2DA2}">
      <formula1>INDIRECT(SUBSTITUTE(SUBSTITUTE(SUBSTITUTE(C31," ",""),".",""),"/",""))</formula1>
    </dataValidation>
    <dataValidation type="list" showErrorMessage="1" sqref="D32" xr:uid="{972986CF-C4E2-9B45-980E-05219279624A}">
      <formula1>INDIRECT(SUBSTITUTE(SUBSTITUTE(SUBSTITUTE(C32," ",""),".",""),"/",""))</formula1>
    </dataValidation>
    <dataValidation type="list" showErrorMessage="1" sqref="D33" xr:uid="{62C8C3F7-4771-0E41-B612-C5B0376F9B77}">
      <formula1>INDIRECT(SUBSTITUTE(SUBSTITUTE(SUBSTITUTE(C33," ",""),".",""),"/",""))</formula1>
    </dataValidation>
    <dataValidation type="list" showErrorMessage="1" sqref="D34" xr:uid="{9961C864-69A0-6647-92B6-C342F9DE2654}">
      <formula1>INDIRECT(SUBSTITUTE(SUBSTITUTE(SUBSTITUTE(C34," ",""),".",""),"/",""))</formula1>
    </dataValidation>
    <dataValidation type="list" showErrorMessage="1" sqref="D35" xr:uid="{F7F92E1F-40B4-0E4E-A26B-F01F01EFE9A1}">
      <formula1>INDIRECT(SUBSTITUTE(SUBSTITUTE(SUBSTITUTE(C35," ",""),".",""),"/",""))</formula1>
    </dataValidation>
    <dataValidation type="list" showErrorMessage="1" sqref="D36" xr:uid="{D7F54604-A8D7-1E4F-9320-A64F55168786}">
      <formula1>INDIRECT(SUBSTITUTE(SUBSTITUTE(SUBSTITUTE(C36," ",""),".",""),"/",""))</formula1>
    </dataValidation>
    <dataValidation type="list" showErrorMessage="1" sqref="D37" xr:uid="{2FA373E2-41BF-3F4E-B6B4-3FC4CC424EE3}">
      <formula1>INDIRECT(SUBSTITUTE(SUBSTITUTE(SUBSTITUTE(C37," ",""),".",""),"/",""))</formula1>
    </dataValidation>
    <dataValidation type="list" showErrorMessage="1" sqref="D38" xr:uid="{8276E956-629B-BE4D-BF32-D856535D3188}">
      <formula1>INDIRECT(SUBSTITUTE(SUBSTITUTE(SUBSTITUTE(C38," ",""),".",""),"/",""))</formula1>
    </dataValidation>
    <dataValidation type="list" showErrorMessage="1" sqref="D39" xr:uid="{EB026537-4F4E-3745-84D3-BD94414E83ED}">
      <formula1>INDIRECT(SUBSTITUTE(SUBSTITUTE(SUBSTITUTE(C39," ",""),".",""),"/",""))</formula1>
    </dataValidation>
    <dataValidation type="list" showErrorMessage="1" sqref="D40" xr:uid="{CAF22B1F-2A39-3343-8008-6211B4941196}">
      <formula1>INDIRECT(SUBSTITUTE(SUBSTITUTE(SUBSTITUTE(C40," ",""),".",""),"/",""))</formula1>
    </dataValidation>
    <dataValidation type="list" showErrorMessage="1" sqref="D41" xr:uid="{994DEE66-17D3-3449-AB6E-FE562E50436F}">
      <formula1>INDIRECT(SUBSTITUTE(SUBSTITUTE(SUBSTITUTE(C41," ",""),".",""),"/",""))</formula1>
    </dataValidation>
    <dataValidation type="list" showErrorMessage="1" sqref="D42" xr:uid="{8B0090AF-B9AA-2948-B121-3A9AA2C66577}">
      <formula1>INDIRECT(SUBSTITUTE(SUBSTITUTE(SUBSTITUTE(C42," ",""),".",""),"/",""))</formula1>
    </dataValidation>
    <dataValidation type="list" showErrorMessage="1" sqref="D43" xr:uid="{9D133742-F248-6C43-8529-37A482B4EAD9}">
      <formula1>INDIRECT(SUBSTITUTE(SUBSTITUTE(SUBSTITUTE(C43," ",""),".",""),"/",""))</formula1>
    </dataValidation>
    <dataValidation type="list" showErrorMessage="1" sqref="D44" xr:uid="{53223D47-971B-0C45-856E-D7B66375611E}">
      <formula1>INDIRECT(SUBSTITUTE(SUBSTITUTE(SUBSTITUTE(C44," ",""),".",""),"/",""))</formula1>
    </dataValidation>
    <dataValidation type="list" showErrorMessage="1" sqref="D45" xr:uid="{72179E2F-B316-D242-8AF3-6171C30F5EC9}">
      <formula1>INDIRECT(SUBSTITUTE(SUBSTITUTE(SUBSTITUTE(C45," ",""),".",""),"/",""))</formula1>
    </dataValidation>
    <dataValidation type="list" showErrorMessage="1" sqref="D46" xr:uid="{2F89A8CA-3405-5B4A-9C4E-89AC07C773EF}">
      <formula1>INDIRECT(SUBSTITUTE(SUBSTITUTE(SUBSTITUTE(C46," ",""),".",""),"/",""))</formula1>
    </dataValidation>
    <dataValidation type="list" showErrorMessage="1" sqref="D47" xr:uid="{74882555-0B83-9143-84C9-179A6196A4BB}">
      <formula1>INDIRECT(SUBSTITUTE(SUBSTITUTE(SUBSTITUTE(C47," ",""),".",""),"/",""))</formula1>
    </dataValidation>
    <dataValidation type="list" showErrorMessage="1" sqref="D48" xr:uid="{399E8B15-8B9A-4445-9CB8-39EE08B9DC11}">
      <formula1>INDIRECT(SUBSTITUTE(SUBSTITUTE(SUBSTITUTE(C48," ",""),".",""),"/",""))</formula1>
    </dataValidation>
    <dataValidation type="list" showErrorMessage="1" sqref="D49" xr:uid="{2B510A15-C1D0-C14F-9B27-A861BD95F16E}">
      <formula1>INDIRECT(SUBSTITUTE(SUBSTITUTE(SUBSTITUTE(C49," ",""),".",""),"/",""))</formula1>
    </dataValidation>
    <dataValidation type="list" showErrorMessage="1" sqref="D50" xr:uid="{597FD010-DE98-1647-8725-47D26D5CA255}">
      <formula1>INDIRECT(SUBSTITUTE(SUBSTITUTE(SUBSTITUTE(C50," ",""),".",""),"/",""))</formula1>
    </dataValidation>
    <dataValidation type="list" showErrorMessage="1" sqref="D51" xr:uid="{8FAB1DD7-D94E-AA42-B214-1B786FE640C1}">
      <formula1>INDIRECT(SUBSTITUTE(SUBSTITUTE(SUBSTITUTE(C51," ",""),".",""),"/",""))</formula1>
    </dataValidation>
    <dataValidation type="list" showErrorMessage="1" sqref="D52" xr:uid="{C6C5F6C3-B3A5-0E4F-8F0E-B8D9792E410B}">
      <formula1>INDIRECT(SUBSTITUTE(SUBSTITUTE(SUBSTITUTE(C52," ",""),".",""),"/",""))</formula1>
    </dataValidation>
    <dataValidation type="list" showErrorMessage="1" sqref="D53" xr:uid="{F5DC0BB7-D52C-B940-A6F3-EC4CD4FBBD65}">
      <formula1>INDIRECT(SUBSTITUTE(SUBSTITUTE(SUBSTITUTE(C53," ",""),".",""),"/",""))</formula1>
    </dataValidation>
    <dataValidation type="list" showErrorMessage="1" sqref="D54" xr:uid="{20B66C2E-65B9-5041-B847-FACE822CCA93}">
      <formula1>INDIRECT(SUBSTITUTE(SUBSTITUTE(SUBSTITUTE(C54," ",""),".",""),"/",""))</formula1>
    </dataValidation>
    <dataValidation type="list" showErrorMessage="1" sqref="D55" xr:uid="{6ACBDE03-C2EB-F042-A40E-9BDE43ABD2F0}">
      <formula1>INDIRECT(SUBSTITUTE(SUBSTITUTE(SUBSTITUTE(C55," ",""),".",""),"/",""))</formula1>
    </dataValidation>
    <dataValidation type="list" showErrorMessage="1" sqref="D56" xr:uid="{967449A8-9399-BB4A-A97A-48ABE9A351DB}">
      <formula1>INDIRECT(SUBSTITUTE(SUBSTITUTE(SUBSTITUTE(C56," ",""),".",""),"/",""))</formula1>
    </dataValidation>
    <dataValidation type="list" showErrorMessage="1" sqref="D57" xr:uid="{D29E00BE-CC2B-EA41-960D-205083F64BF3}">
      <formula1>INDIRECT(SUBSTITUTE(SUBSTITUTE(SUBSTITUTE(C57," ",""),".",""),"/",""))</formula1>
    </dataValidation>
    <dataValidation type="list" showErrorMessage="1" sqref="D58" xr:uid="{F4048AA8-6190-8848-8219-27C1715CDE4D}">
      <formula1>INDIRECT(SUBSTITUTE(SUBSTITUTE(SUBSTITUTE(C58," ",""),".",""),"/",""))</formula1>
    </dataValidation>
    <dataValidation type="list" showErrorMessage="1" sqref="D59" xr:uid="{6B04E3A0-A120-374A-94C0-B13EBF2A1585}">
      <formula1>INDIRECT(SUBSTITUTE(SUBSTITUTE(SUBSTITUTE(C59," ",""),".",""),"/",""))</formula1>
    </dataValidation>
    <dataValidation type="list" showErrorMessage="1" sqref="D60" xr:uid="{E3246075-066A-8B44-8F2B-CE58BE21E7EC}">
      <formula1>INDIRECT(SUBSTITUTE(SUBSTITUTE(SUBSTITUTE(C60," ",""),".",""),"/",""))</formula1>
    </dataValidation>
    <dataValidation type="list" showErrorMessage="1" sqref="D61" xr:uid="{7BE8249B-DA47-A74C-912B-10B92339E770}">
      <formula1>INDIRECT(SUBSTITUTE(SUBSTITUTE(SUBSTITUTE(C61," ",""),".",""),"/",""))</formula1>
    </dataValidation>
    <dataValidation type="list" showErrorMessage="1" sqref="D62" xr:uid="{6C32ABA5-6FCC-264C-AAAC-100820DC5A17}">
      <formula1>INDIRECT(SUBSTITUTE(SUBSTITUTE(SUBSTITUTE(C62," ",""),".",""),"/",""))</formula1>
    </dataValidation>
    <dataValidation type="list" showErrorMessage="1" sqref="D63" xr:uid="{EF041838-C82F-3141-9058-965CB5157979}">
      <formula1>INDIRECT(SUBSTITUTE(SUBSTITUTE(SUBSTITUTE(C63," ",""),".",""),"/",""))</formula1>
    </dataValidation>
    <dataValidation type="list" showErrorMessage="1" sqref="D64" xr:uid="{DB4046A6-2EFB-AC42-8D34-EE85F5B90A3A}">
      <formula1>INDIRECT(SUBSTITUTE(SUBSTITUTE(SUBSTITUTE(C64," ",""),".",""),"/",""))</formula1>
    </dataValidation>
    <dataValidation type="list" showErrorMessage="1" sqref="D65" xr:uid="{C33E606E-3706-654E-B5D7-88810F2AE8F3}">
      <formula1>INDIRECT(SUBSTITUTE(SUBSTITUTE(SUBSTITUTE(C65," ",""),".",""),"/",""))</formula1>
    </dataValidation>
    <dataValidation type="list" showErrorMessage="1" sqref="D66" xr:uid="{AC4183B0-10E8-694D-A0CE-7065230B381D}">
      <formula1>INDIRECT(SUBSTITUTE(SUBSTITUTE(SUBSTITUTE(C66," ",""),".",""),"/",""))</formula1>
    </dataValidation>
    <dataValidation type="list" showErrorMessage="1" sqref="D67" xr:uid="{B6EDFD5E-90B7-F145-8999-90E8C6662EFC}">
      <formula1>INDIRECT(SUBSTITUTE(SUBSTITUTE(SUBSTITUTE(C67," ",""),".",""),"/",""))</formula1>
    </dataValidation>
    <dataValidation type="list" showErrorMessage="1" sqref="D68" xr:uid="{1E6FE05B-A0F4-2D48-AD26-26218CAB3E74}">
      <formula1>INDIRECT(SUBSTITUTE(SUBSTITUTE(SUBSTITUTE(C68," ",""),".",""),"/",""))</formula1>
    </dataValidation>
    <dataValidation type="list" showErrorMessage="1" sqref="D69" xr:uid="{17DC8656-F407-7141-8777-AC8E70335631}">
      <formula1>INDIRECT(SUBSTITUTE(SUBSTITUTE(SUBSTITUTE(C69," ",""),".",""),"/",""))</formula1>
    </dataValidation>
    <dataValidation type="list" showErrorMessage="1" sqref="D70" xr:uid="{E72162BE-0D14-3D4C-9048-5B05EDADFED1}">
      <formula1>INDIRECT(SUBSTITUTE(SUBSTITUTE(SUBSTITUTE(C70," ",""),".",""),"/",""))</formula1>
    </dataValidation>
    <dataValidation type="list" showErrorMessage="1" sqref="D71" xr:uid="{17E5D50A-3F46-494E-A1E2-D3208B14CFE6}">
      <formula1>INDIRECT(SUBSTITUTE(SUBSTITUTE(SUBSTITUTE(C71," ",""),".",""),"/",""))</formula1>
    </dataValidation>
    <dataValidation type="list" showErrorMessage="1" sqref="D72" xr:uid="{3CAC885C-5C9A-0343-BF07-027C6B8EF2BF}">
      <formula1>INDIRECT(SUBSTITUTE(SUBSTITUTE(SUBSTITUTE(C72," ",""),".",""),"/",""))</formula1>
    </dataValidation>
    <dataValidation type="list" showErrorMessage="1" sqref="D73" xr:uid="{871D2B65-7937-7641-A77F-BC5D05C77E0A}">
      <formula1>INDIRECT(SUBSTITUTE(SUBSTITUTE(SUBSTITUTE(C73," ",""),".",""),"/",""))</formula1>
    </dataValidation>
    <dataValidation type="list" showErrorMessage="1" sqref="D74" xr:uid="{94489D04-C6C4-FE45-917E-365150E863A5}">
      <formula1>INDIRECT(SUBSTITUTE(SUBSTITUTE(SUBSTITUTE(C74," ",""),".",""),"/",""))</formula1>
    </dataValidation>
    <dataValidation type="list" showErrorMessage="1" sqref="D75" xr:uid="{DC4FBA21-AA44-BF4E-8014-F6357E2C9872}">
      <formula1>INDIRECT(SUBSTITUTE(SUBSTITUTE(SUBSTITUTE(C75," ",""),".",""),"/",""))</formula1>
    </dataValidation>
    <dataValidation type="list" showErrorMessage="1" sqref="D76" xr:uid="{303DC251-8100-7E4E-9881-929AD7E3CDA0}">
      <formula1>INDIRECT(SUBSTITUTE(SUBSTITUTE(SUBSTITUTE(C76," ",""),".",""),"/",""))</formula1>
    </dataValidation>
    <dataValidation type="list" showErrorMessage="1" sqref="D77" xr:uid="{5473F621-17B0-FB4B-8C1D-B439683B5E37}">
      <formula1>INDIRECT(SUBSTITUTE(SUBSTITUTE(SUBSTITUTE(C77," ",""),".",""),"/",""))</formula1>
    </dataValidation>
    <dataValidation type="list" showErrorMessage="1" sqref="D78" xr:uid="{B4D3E0D4-3B1B-C347-A0D1-947A8FDBCA96}">
      <formula1>INDIRECT(SUBSTITUTE(SUBSTITUTE(SUBSTITUTE(C78," ",""),".",""),"/",""))</formula1>
    </dataValidation>
    <dataValidation type="list" showErrorMessage="1" sqref="D79" xr:uid="{638F4438-1EF3-414A-ACA5-04F0F726638A}">
      <formula1>INDIRECT(SUBSTITUTE(SUBSTITUTE(SUBSTITUTE(C79," ",""),".",""),"/",""))</formula1>
    </dataValidation>
    <dataValidation type="list" showErrorMessage="1" sqref="D80" xr:uid="{B575099A-31F4-7C47-9FF8-A3572AFBF4D3}">
      <formula1>INDIRECT(SUBSTITUTE(SUBSTITUTE(SUBSTITUTE(C80," ",""),".",""),"/",""))</formula1>
    </dataValidation>
    <dataValidation type="list" showErrorMessage="1" sqref="D81" xr:uid="{53EAA8A9-D01A-A543-8C5E-996171DAAA3D}">
      <formula1>INDIRECT(SUBSTITUTE(SUBSTITUTE(SUBSTITUTE(C81," ",""),".",""),"/",""))</formula1>
    </dataValidation>
    <dataValidation type="list" showErrorMessage="1" sqref="D82" xr:uid="{6CBF7F3C-0F29-5748-811C-6046C8AAE588}">
      <formula1>INDIRECT(SUBSTITUTE(SUBSTITUTE(SUBSTITUTE(C82," ",""),".",""),"/",""))</formula1>
    </dataValidation>
    <dataValidation type="list" showErrorMessage="1" sqref="D83" xr:uid="{7076B970-F16F-BB4A-99A4-9293019DD7EE}">
      <formula1>INDIRECT(SUBSTITUTE(SUBSTITUTE(SUBSTITUTE(C83," ",""),".",""),"/",""))</formula1>
    </dataValidation>
    <dataValidation type="list" showErrorMessage="1" sqref="D84" xr:uid="{A0A32663-6213-2A4C-BBA7-E1C1A72682AB}">
      <formula1>INDIRECT(SUBSTITUTE(SUBSTITUTE(SUBSTITUTE(C84," ",""),".",""),"/",""))</formula1>
    </dataValidation>
    <dataValidation type="list" showErrorMessage="1" sqref="D85" xr:uid="{F6E16B8A-873D-9D49-A692-B719F717EC55}">
      <formula1>INDIRECT(SUBSTITUTE(SUBSTITUTE(SUBSTITUTE(C85," ",""),".",""),"/",""))</formula1>
    </dataValidation>
    <dataValidation type="list" showErrorMessage="1" sqref="D86" xr:uid="{5BBF608B-8B17-9F40-92CC-A44FCC42F87E}">
      <formula1>INDIRECT(SUBSTITUTE(SUBSTITUTE(SUBSTITUTE(C86," ",""),".",""),"/",""))</formula1>
    </dataValidation>
    <dataValidation type="list" showErrorMessage="1" sqref="D87" xr:uid="{9592B910-17B5-9947-9B9D-C765974E73B3}">
      <formula1>INDIRECT(SUBSTITUTE(SUBSTITUTE(SUBSTITUTE(C87," ",""),".",""),"/",""))</formula1>
    </dataValidation>
    <dataValidation type="list" showErrorMessage="1" sqref="D88" xr:uid="{78C351BF-F686-7145-948F-B12F7CD077B7}">
      <formula1>INDIRECT(SUBSTITUTE(SUBSTITUTE(SUBSTITUTE(C88," ",""),".",""),"/",""))</formula1>
    </dataValidation>
    <dataValidation type="list" showErrorMessage="1" sqref="D89" xr:uid="{D813C7A6-6EF2-064E-9EDF-2F4FB213F1ED}">
      <formula1>INDIRECT(SUBSTITUTE(SUBSTITUTE(SUBSTITUTE(C89," ",""),".",""),"/",""))</formula1>
    </dataValidation>
    <dataValidation type="list" showErrorMessage="1" sqref="D90" xr:uid="{49A970F6-1E16-A84E-9D6E-F79A77E2C429}">
      <formula1>INDIRECT(SUBSTITUTE(SUBSTITUTE(SUBSTITUTE(C90," ",""),".",""),"/",""))</formula1>
    </dataValidation>
    <dataValidation type="list" showErrorMessage="1" sqref="D91" xr:uid="{F4F79FDA-A721-744B-B2BA-D56023B3FD35}">
      <formula1>INDIRECT(SUBSTITUTE(SUBSTITUTE(SUBSTITUTE(C91," ",""),".",""),"/",""))</formula1>
    </dataValidation>
    <dataValidation type="list" showErrorMessage="1" sqref="D92" xr:uid="{70EFB905-9CF0-5F41-8258-39DDB811B6B9}">
      <formula1>INDIRECT(SUBSTITUTE(SUBSTITUTE(SUBSTITUTE(C92," ",""),".",""),"/",""))</formula1>
    </dataValidation>
    <dataValidation type="list" showErrorMessage="1" sqref="D93" xr:uid="{2E39AFBA-1517-F246-A610-74476E38ED62}">
      <formula1>INDIRECT(SUBSTITUTE(SUBSTITUTE(SUBSTITUTE(C93," ",""),".",""),"/",""))</formula1>
    </dataValidation>
    <dataValidation type="list" showErrorMessage="1" sqref="D94" xr:uid="{802897F9-7536-954A-8DE9-23C6316C8432}">
      <formula1>INDIRECT(SUBSTITUTE(SUBSTITUTE(SUBSTITUTE(C94," ",""),".",""),"/",""))</formula1>
    </dataValidation>
    <dataValidation type="list" showErrorMessage="1" sqref="D95" xr:uid="{217B1CA8-4380-AD41-9F08-A36D18A0DBEF}">
      <formula1>INDIRECT(SUBSTITUTE(SUBSTITUTE(SUBSTITUTE(C95," ",""),".",""),"/",""))</formula1>
    </dataValidation>
    <dataValidation type="list" showErrorMessage="1" sqref="D96" xr:uid="{790B8540-12EB-884B-BF3B-821C4C1DF394}">
      <formula1>INDIRECT(SUBSTITUTE(SUBSTITUTE(SUBSTITUTE(C96," ",""),".",""),"/",""))</formula1>
    </dataValidation>
    <dataValidation type="list" showErrorMessage="1" sqref="D97" xr:uid="{BC4E464D-0CD1-B244-88C0-0748E35EE9B5}">
      <formula1>INDIRECT(SUBSTITUTE(SUBSTITUTE(SUBSTITUTE(C97," ",""),".",""),"/",""))</formula1>
    </dataValidation>
    <dataValidation type="list" showErrorMessage="1" sqref="D98" xr:uid="{8E252DCC-3E8A-2549-9BFC-474C49732022}">
      <formula1>INDIRECT(SUBSTITUTE(SUBSTITUTE(SUBSTITUTE(C98," ",""),".",""),"/",""))</formula1>
    </dataValidation>
    <dataValidation type="list" showErrorMessage="1" sqref="D99" xr:uid="{5EBF265E-EF12-5C40-B072-66341914F9D8}">
      <formula1>INDIRECT(SUBSTITUTE(SUBSTITUTE(SUBSTITUTE(C99," ",""),".",""),"/",""))</formula1>
    </dataValidation>
    <dataValidation type="list" showErrorMessage="1" sqref="D100" xr:uid="{180F2BE6-076F-1147-BCE5-D078E3731416}">
      <formula1>INDIRECT(SUBSTITUTE(SUBSTITUTE(SUBSTITUTE(C100," ",""),".",""),"/",""))</formula1>
    </dataValidation>
    <dataValidation type="list" showErrorMessage="1" sqref="D101" xr:uid="{C23A8AF7-37AB-A141-826E-55F95821D9DB}">
      <formula1>INDIRECT(SUBSTITUTE(SUBSTITUTE(SUBSTITUTE(C101," ",""),".",""),"/",""))</formula1>
    </dataValidation>
    <dataValidation type="list" showErrorMessage="1" sqref="D102" xr:uid="{48BF5D99-974B-CD4A-A788-CFCB39990D88}">
      <formula1>INDIRECT(SUBSTITUTE(SUBSTITUTE(SUBSTITUTE(C102," ",""),".",""),"/",""))</formula1>
    </dataValidation>
    <dataValidation type="list" showErrorMessage="1" sqref="D103" xr:uid="{18F673AB-5BEC-4142-A79F-6127E01AAF96}">
      <formula1>INDIRECT(SUBSTITUTE(SUBSTITUTE(SUBSTITUTE(C103," ",""),".",""),"/",""))</formula1>
    </dataValidation>
    <dataValidation type="list" showErrorMessage="1" sqref="D104" xr:uid="{90E1E3AA-B7AD-AB46-B955-62C5B8CA7546}">
      <formula1>INDIRECT(SUBSTITUTE(SUBSTITUTE(SUBSTITUTE(C104," ",""),".",""),"/",""))</formula1>
    </dataValidation>
    <dataValidation type="list" showErrorMessage="1" sqref="D105" xr:uid="{68C98303-FD53-AB4A-893D-B20AC6933E10}">
      <formula1>INDIRECT(SUBSTITUTE(SUBSTITUTE(SUBSTITUTE(C105," ",""),".",""),"/",""))</formula1>
    </dataValidation>
    <dataValidation type="list" showErrorMessage="1" sqref="D106" xr:uid="{4421B754-0800-EB4E-8393-4479826E12C1}">
      <formula1>INDIRECT(SUBSTITUTE(SUBSTITUTE(SUBSTITUTE(C106," ",""),".",""),"/",""))</formula1>
    </dataValidation>
    <dataValidation type="list" showErrorMessage="1" sqref="D107" xr:uid="{CA6C88CE-277D-E847-B92D-10E933FBBEB2}">
      <formula1>INDIRECT(SUBSTITUTE(SUBSTITUTE(SUBSTITUTE(C107," ",""),".",""),"/",""))</formula1>
    </dataValidation>
    <dataValidation type="list" showErrorMessage="1" sqref="D108" xr:uid="{4EA8A1FC-94BD-5349-BA91-673E782F6F9E}">
      <formula1>INDIRECT(SUBSTITUTE(SUBSTITUTE(SUBSTITUTE(C108," ",""),".",""),"/",""))</formula1>
    </dataValidation>
    <dataValidation type="list" showErrorMessage="1" sqref="D109" xr:uid="{03B7B904-4C3E-824F-86DB-6D2B2EC9D8DF}">
      <formula1>INDIRECT(SUBSTITUTE(SUBSTITUTE(SUBSTITUTE(C109," ",""),".",""),"/",""))</formula1>
    </dataValidation>
    <dataValidation type="list" showErrorMessage="1" sqref="F10:F109" xr:uid="{21D8879F-C58D-CB4A-91EA-B6344AFECEAB}">
      <formula1>ExpansionDegrees</formula1>
    </dataValidation>
    <dataValidation type="list" showErrorMessage="1" sqref="G10:G109" xr:uid="{28B66F0D-7C6A-C24D-836C-050AD2856994}">
      <formula1>ElectronicsQualities</formula1>
    </dataValidation>
    <dataValidation type="list" showErrorMessage="1" sqref="N10:N109" xr:uid="{F64D3D5F-D014-C545-9757-4A684B3084E8}">
      <formula1>CalculationBase_NoMeter</formula1>
    </dataValidation>
    <dataValidation type="textLength" operator="lessThanOrEqual" allowBlank="1" showInputMessage="1" showErrorMessage="1" prompt="Max. 250 Zeichen." sqref="B10:B110" xr:uid="{BAEF2194-3EF4-6840-93F2-B0566FB0CB8E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4E32-BA78-CA4C-AF2E-13D9880B6BD7}">
  <sheetPr codeName="Sheet15"/>
  <dimension ref="A1:W120"/>
  <sheetViews>
    <sheetView zoomScaleNormal="100" workbookViewId="0"/>
  </sheetViews>
  <sheetFormatPr baseColWidth="10" defaultColWidth="9.1640625" defaultRowHeight="15" customHeight="1" x14ac:dyDescent="0.15"/>
  <cols>
    <col min="1" max="1" width="8.33203125" style="86" customWidth="1"/>
    <col min="2" max="3" width="8.33203125" style="1" customWidth="1"/>
    <col min="4" max="5" width="31.6640625" style="1" customWidth="1"/>
    <col min="6" max="6" width="15" style="21" customWidth="1"/>
    <col min="7" max="7" width="22.33203125" style="1" customWidth="1"/>
    <col min="8" max="8" width="20.5" style="1" customWidth="1"/>
    <col min="9" max="9" width="16.6640625" style="1" bestFit="1" customWidth="1"/>
    <col min="10" max="10" width="16.1640625" style="1" bestFit="1" customWidth="1"/>
    <col min="11" max="11" width="16.6640625" style="1" bestFit="1" customWidth="1"/>
    <col min="12" max="12" width="16.1640625" style="1" bestFit="1" customWidth="1"/>
    <col min="13" max="13" width="22.1640625" style="1" customWidth="1"/>
    <col min="14" max="14" width="16.1640625" style="1" bestFit="1" customWidth="1"/>
    <col min="15" max="15" width="6.33203125" style="1" bestFit="1" customWidth="1"/>
    <col min="16" max="16" width="23.5" style="1" bestFit="1" customWidth="1"/>
    <col min="17" max="17" width="9.6640625" style="1" bestFit="1" customWidth="1"/>
    <col min="18" max="18" width="10" style="1" bestFit="1" customWidth="1"/>
    <col min="19" max="19" width="11.33203125" style="1" bestFit="1" customWidth="1"/>
    <col min="20" max="20" width="10.5" style="1" bestFit="1" customWidth="1"/>
    <col min="21" max="21" width="18.33203125" style="1" bestFit="1" customWidth="1"/>
    <col min="22" max="22" width="34.1640625" style="1" bestFit="1" customWidth="1"/>
    <col min="23" max="16384" width="9.1640625" style="1"/>
  </cols>
  <sheetData>
    <row r="1" spans="1:23" s="197" customFormat="1" ht="15" customHeight="1" thickBot="1" x14ac:dyDescent="0.2">
      <c r="A1" s="177" t="s">
        <v>775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</row>
    <row r="2" spans="1:23" ht="40.5" customHeight="1" x14ac:dyDescent="0.15"/>
    <row r="3" spans="1:23" s="34" customFormat="1" ht="30" customHeight="1" x14ac:dyDescent="0.15">
      <c r="A3" s="168" t="s">
        <v>343</v>
      </c>
      <c r="B3" s="183"/>
      <c r="C3" s="157"/>
      <c r="D3" s="157"/>
      <c r="E3" s="157"/>
      <c r="F3" s="157"/>
    </row>
    <row r="4" spans="1:23" ht="15" customHeight="1" x14ac:dyDescent="0.15">
      <c r="A4" s="159" t="s">
        <v>193</v>
      </c>
      <c r="B4" s="216"/>
      <c r="C4" s="157"/>
      <c r="D4" s="157"/>
      <c r="E4" s="157"/>
      <c r="F4" s="157"/>
      <c r="G4" s="21"/>
      <c r="H4" s="30"/>
      <c r="I4" s="21"/>
    </row>
    <row r="5" spans="1:23" ht="62.25" customHeight="1" x14ac:dyDescent="0.15">
      <c r="A5" s="155" t="s">
        <v>18</v>
      </c>
      <c r="B5" s="172"/>
      <c r="C5" s="157"/>
      <c r="D5" s="157"/>
      <c r="E5" s="157"/>
      <c r="F5" s="157"/>
      <c r="G5" s="21"/>
      <c r="H5" s="30"/>
      <c r="I5" s="21"/>
    </row>
    <row r="6" spans="1:23" ht="62.25" customHeight="1" x14ac:dyDescent="0.15">
      <c r="A6" s="155" t="s">
        <v>91</v>
      </c>
      <c r="B6" s="172"/>
      <c r="C6" s="157"/>
      <c r="D6" s="157"/>
      <c r="E6" s="157"/>
      <c r="F6" s="157"/>
      <c r="G6" s="21"/>
      <c r="H6" s="30"/>
      <c r="I6" s="2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" customHeight="1" x14ac:dyDescent="0.15">
      <c r="A7" s="87"/>
      <c r="B7" s="87"/>
      <c r="C7" s="87"/>
      <c r="D7" s="53"/>
      <c r="E7" s="84"/>
      <c r="F7" s="103"/>
      <c r="G7" s="21"/>
      <c r="H7" s="30"/>
      <c r="I7" s="2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34.5" customHeight="1" x14ac:dyDescent="0.15">
      <c r="A8" s="123" t="s">
        <v>16</v>
      </c>
      <c r="B8" s="128" t="s">
        <v>21</v>
      </c>
      <c r="C8" s="120" t="s">
        <v>190</v>
      </c>
      <c r="D8" s="128" t="s">
        <v>27</v>
      </c>
      <c r="E8" s="120" t="s">
        <v>199</v>
      </c>
      <c r="F8" s="129" t="s">
        <v>192</v>
      </c>
      <c r="G8" s="128" t="s">
        <v>191</v>
      </c>
      <c r="H8" s="128" t="s">
        <v>201</v>
      </c>
      <c r="I8" s="128" t="s">
        <v>135</v>
      </c>
      <c r="J8" s="119" t="s">
        <v>204</v>
      </c>
      <c r="K8" s="119" t="s">
        <v>205</v>
      </c>
      <c r="L8" s="119" t="s">
        <v>196</v>
      </c>
      <c r="M8" s="119" t="s">
        <v>197</v>
      </c>
    </row>
    <row r="9" spans="1:23" ht="15" customHeight="1" x14ac:dyDescent="0.15">
      <c r="G9" s="24"/>
      <c r="H9" s="21"/>
    </row>
    <row r="10" spans="1:23" ht="15" customHeight="1" x14ac:dyDescent="0.15">
      <c r="A10" s="87"/>
      <c r="B10" s="87"/>
      <c r="C10" s="87"/>
      <c r="D10" s="53"/>
      <c r="E10" s="84"/>
      <c r="F10" s="103"/>
      <c r="G10" s="24"/>
      <c r="H10" s="21"/>
      <c r="I10" s="21"/>
    </row>
    <row r="11" spans="1:23" ht="15" customHeight="1" x14ac:dyDescent="0.15">
      <c r="A11" s="87"/>
      <c r="B11" s="87"/>
      <c r="C11" s="87"/>
      <c r="D11" s="53"/>
      <c r="E11" s="84"/>
      <c r="F11" s="103"/>
      <c r="G11" s="24"/>
      <c r="H11" s="21"/>
      <c r="I11" s="21"/>
    </row>
    <row r="12" spans="1:23" ht="15" customHeight="1" x14ac:dyDescent="0.15">
      <c r="A12" s="87"/>
      <c r="B12" s="87"/>
      <c r="C12" s="87"/>
      <c r="D12" s="53"/>
      <c r="E12" s="84"/>
      <c r="F12" s="103"/>
      <c r="G12" s="24"/>
      <c r="H12" s="21"/>
      <c r="I12" s="21"/>
    </row>
    <row r="13" spans="1:23" ht="15" customHeight="1" x14ac:dyDescent="0.15">
      <c r="A13" s="87"/>
      <c r="B13" s="87"/>
      <c r="C13" s="87"/>
      <c r="D13" s="53"/>
      <c r="E13" s="84"/>
      <c r="F13" s="103"/>
      <c r="G13" s="24"/>
      <c r="H13" s="21"/>
      <c r="I13" s="21"/>
    </row>
    <row r="14" spans="1:23" ht="15" customHeight="1" x14ac:dyDescent="0.15">
      <c r="A14" s="87"/>
      <c r="B14" s="87"/>
      <c r="C14" s="87"/>
      <c r="D14" s="53"/>
      <c r="E14" s="84"/>
      <c r="F14" s="103"/>
      <c r="G14" s="24"/>
      <c r="H14" s="21"/>
      <c r="I14" s="21"/>
    </row>
    <row r="15" spans="1:23" ht="15" customHeight="1" x14ac:dyDescent="0.15">
      <c r="A15" s="87"/>
      <c r="B15" s="87"/>
      <c r="C15" s="87"/>
      <c r="D15" s="53"/>
      <c r="E15" s="84"/>
      <c r="F15" s="103"/>
      <c r="G15" s="24"/>
      <c r="H15" s="21"/>
      <c r="I15" s="21"/>
    </row>
    <row r="16" spans="1:23" ht="15" customHeight="1" x14ac:dyDescent="0.15">
      <c r="A16" s="87"/>
      <c r="B16" s="87"/>
      <c r="C16" s="87"/>
      <c r="D16" s="53"/>
      <c r="E16" s="84"/>
      <c r="F16" s="103"/>
      <c r="G16" s="24"/>
      <c r="H16" s="21"/>
      <c r="I16" s="21"/>
    </row>
    <row r="17" spans="1:9" ht="15" customHeight="1" x14ac:dyDescent="0.15">
      <c r="A17" s="87"/>
      <c r="B17" s="87"/>
      <c r="C17" s="87"/>
      <c r="D17" s="53"/>
      <c r="E17" s="84"/>
      <c r="F17" s="103"/>
      <c r="G17" s="24"/>
      <c r="H17" s="21"/>
      <c r="I17" s="21"/>
    </row>
    <row r="18" spans="1:9" ht="15" customHeight="1" x14ac:dyDescent="0.15">
      <c r="A18" s="87"/>
      <c r="B18" s="87"/>
      <c r="C18" s="87"/>
      <c r="D18" s="53"/>
      <c r="E18" s="84"/>
      <c r="F18" s="103"/>
      <c r="G18" s="24"/>
      <c r="H18" s="21"/>
      <c r="I18" s="21"/>
    </row>
    <row r="19" spans="1:9" ht="15" customHeight="1" x14ac:dyDescent="0.15">
      <c r="A19" s="87"/>
      <c r="B19" s="87"/>
      <c r="C19" s="87"/>
      <c r="D19" s="53"/>
      <c r="E19" s="84"/>
      <c r="F19" s="103"/>
      <c r="G19" s="24"/>
      <c r="H19" s="21"/>
      <c r="I19" s="21"/>
    </row>
    <row r="20" spans="1:9" ht="15" customHeight="1" x14ac:dyDescent="0.15">
      <c r="A20" s="87"/>
      <c r="B20" s="87"/>
      <c r="C20" s="87"/>
      <c r="D20" s="53"/>
      <c r="E20" s="84"/>
      <c r="F20" s="103"/>
      <c r="G20" s="24"/>
      <c r="H20" s="21"/>
      <c r="I20" s="21"/>
    </row>
    <row r="21" spans="1:9" ht="15" customHeight="1" x14ac:dyDescent="0.15">
      <c r="A21" s="87"/>
      <c r="B21" s="87"/>
      <c r="C21" s="87"/>
      <c r="D21" s="53"/>
      <c r="E21" s="84"/>
      <c r="F21" s="103"/>
      <c r="G21" s="24"/>
      <c r="H21" s="21"/>
      <c r="I21" s="21"/>
    </row>
    <row r="22" spans="1:9" ht="15" customHeight="1" x14ac:dyDescent="0.15">
      <c r="A22" s="87"/>
      <c r="B22" s="87"/>
      <c r="C22" s="87"/>
      <c r="D22" s="53"/>
      <c r="E22" s="84"/>
      <c r="F22" s="103"/>
      <c r="G22" s="24"/>
      <c r="H22" s="21"/>
      <c r="I22" s="21"/>
    </row>
    <row r="23" spans="1:9" ht="15" customHeight="1" x14ac:dyDescent="0.15">
      <c r="A23" s="87"/>
      <c r="B23" s="87"/>
      <c r="C23" s="87"/>
      <c r="D23" s="53"/>
      <c r="E23" s="84"/>
      <c r="F23" s="103"/>
      <c r="G23" s="24"/>
      <c r="H23" s="21"/>
      <c r="I23" s="21"/>
    </row>
    <row r="24" spans="1:9" ht="15" customHeight="1" x14ac:dyDescent="0.15">
      <c r="A24" s="87"/>
      <c r="B24" s="87"/>
      <c r="C24" s="87"/>
      <c r="D24" s="53"/>
      <c r="E24" s="84"/>
      <c r="F24" s="103"/>
      <c r="G24" s="24"/>
      <c r="H24" s="21"/>
      <c r="I24" s="21"/>
    </row>
    <row r="25" spans="1:9" ht="15" customHeight="1" x14ac:dyDescent="0.15">
      <c r="A25" s="87"/>
      <c r="B25" s="87"/>
      <c r="C25" s="87"/>
      <c r="D25" s="53"/>
      <c r="E25" s="84"/>
      <c r="F25" s="103"/>
      <c r="G25" s="24"/>
      <c r="H25" s="21"/>
      <c r="I25" s="21"/>
    </row>
    <row r="26" spans="1:9" ht="15" customHeight="1" x14ac:dyDescent="0.15">
      <c r="A26" s="87"/>
      <c r="B26" s="87"/>
      <c r="C26" s="87"/>
      <c r="D26" s="53"/>
      <c r="E26" s="84"/>
      <c r="F26" s="103"/>
      <c r="G26" s="24"/>
      <c r="H26" s="21"/>
      <c r="I26" s="21"/>
    </row>
    <row r="27" spans="1:9" ht="15" customHeight="1" x14ac:dyDescent="0.15">
      <c r="A27" s="87"/>
      <c r="B27" s="87"/>
      <c r="C27" s="87"/>
      <c r="D27" s="53"/>
      <c r="E27" s="84"/>
      <c r="F27" s="103"/>
      <c r="G27" s="24"/>
      <c r="H27" s="21"/>
      <c r="I27" s="21"/>
    </row>
    <row r="28" spans="1:9" ht="15" customHeight="1" x14ac:dyDescent="0.15">
      <c r="A28" s="87"/>
      <c r="B28" s="87"/>
      <c r="C28" s="87"/>
      <c r="D28" s="53"/>
      <c r="E28" s="84"/>
      <c r="F28" s="103"/>
      <c r="G28" s="24"/>
      <c r="H28" s="21"/>
      <c r="I28" s="21"/>
    </row>
    <row r="29" spans="1:9" ht="15" customHeight="1" x14ac:dyDescent="0.15">
      <c r="A29" s="87"/>
      <c r="B29" s="87"/>
      <c r="C29" s="87"/>
      <c r="D29" s="53"/>
      <c r="E29" s="84"/>
      <c r="F29" s="103"/>
      <c r="G29" s="24"/>
      <c r="H29" s="21"/>
      <c r="I29" s="21"/>
    </row>
    <row r="30" spans="1:9" ht="15" customHeight="1" x14ac:dyDescent="0.15">
      <c r="A30" s="87"/>
      <c r="B30" s="87"/>
      <c r="C30" s="87"/>
      <c r="D30" s="53"/>
      <c r="E30" s="84"/>
      <c r="F30" s="103"/>
      <c r="G30" s="24"/>
      <c r="H30" s="21"/>
      <c r="I30" s="21"/>
    </row>
    <row r="31" spans="1:9" ht="15" customHeight="1" x14ac:dyDescent="0.15">
      <c r="A31" s="87"/>
      <c r="B31" s="87"/>
      <c r="C31" s="87"/>
      <c r="D31" s="53"/>
      <c r="E31" s="84"/>
      <c r="F31" s="103"/>
      <c r="G31" s="24"/>
      <c r="H31" s="21"/>
      <c r="I31" s="21"/>
    </row>
    <row r="32" spans="1:9" ht="15" customHeight="1" x14ac:dyDescent="0.15">
      <c r="A32" s="87"/>
      <c r="B32" s="87"/>
      <c r="C32" s="87"/>
      <c r="D32" s="53"/>
      <c r="E32" s="84"/>
      <c r="F32" s="103"/>
      <c r="G32" s="24"/>
      <c r="H32" s="21"/>
      <c r="I32" s="21"/>
    </row>
    <row r="33" spans="1:9" ht="15" customHeight="1" x14ac:dyDescent="0.15">
      <c r="A33" s="87"/>
      <c r="B33" s="87"/>
      <c r="C33" s="87"/>
      <c r="D33" s="53"/>
      <c r="E33" s="84"/>
      <c r="F33" s="103"/>
      <c r="G33" s="24"/>
      <c r="H33" s="21"/>
      <c r="I33" s="21"/>
    </row>
    <row r="34" spans="1:9" ht="15" customHeight="1" x14ac:dyDescent="0.15">
      <c r="A34" s="87"/>
      <c r="B34" s="87"/>
      <c r="C34" s="87"/>
      <c r="D34" s="53"/>
      <c r="E34" s="84"/>
      <c r="F34" s="103"/>
      <c r="G34" s="24"/>
      <c r="H34" s="21"/>
      <c r="I34" s="21"/>
    </row>
    <row r="35" spans="1:9" ht="15" customHeight="1" x14ac:dyDescent="0.15">
      <c r="A35" s="87"/>
      <c r="B35" s="87"/>
      <c r="C35" s="87"/>
      <c r="D35" s="53"/>
      <c r="E35" s="84"/>
      <c r="F35" s="103"/>
      <c r="G35" s="24"/>
      <c r="H35" s="21"/>
      <c r="I35" s="21"/>
    </row>
    <row r="36" spans="1:9" ht="15" customHeight="1" x14ac:dyDescent="0.15">
      <c r="A36" s="87"/>
      <c r="B36" s="87"/>
      <c r="C36" s="87"/>
      <c r="D36" s="53"/>
      <c r="E36" s="84"/>
      <c r="F36" s="103"/>
      <c r="G36" s="24"/>
      <c r="H36" s="21"/>
      <c r="I36" s="21"/>
    </row>
    <row r="37" spans="1:9" ht="15" customHeight="1" x14ac:dyDescent="0.15">
      <c r="A37" s="87"/>
      <c r="B37" s="87"/>
      <c r="C37" s="87"/>
      <c r="D37" s="53"/>
      <c r="E37" s="84"/>
      <c r="F37" s="103"/>
      <c r="G37" s="24"/>
      <c r="H37" s="21"/>
      <c r="I37" s="21"/>
    </row>
    <row r="38" spans="1:9" ht="15" customHeight="1" x14ac:dyDescent="0.15">
      <c r="A38" s="87"/>
      <c r="B38" s="87"/>
      <c r="C38" s="87"/>
      <c r="D38" s="53"/>
      <c r="E38" s="84"/>
      <c r="F38" s="103"/>
      <c r="G38" s="24"/>
      <c r="H38" s="21"/>
      <c r="I38" s="21"/>
    </row>
    <row r="39" spans="1:9" ht="15" customHeight="1" x14ac:dyDescent="0.15">
      <c r="A39" s="87"/>
      <c r="B39" s="87"/>
      <c r="C39" s="87"/>
      <c r="D39" s="53"/>
      <c r="E39" s="84"/>
      <c r="F39" s="103"/>
      <c r="G39" s="24"/>
      <c r="H39" s="21"/>
      <c r="I39" s="21"/>
    </row>
    <row r="40" spans="1:9" ht="15" customHeight="1" x14ac:dyDescent="0.15">
      <c r="A40" s="87"/>
      <c r="B40" s="87"/>
      <c r="C40" s="87"/>
      <c r="D40" s="53"/>
      <c r="E40" s="84"/>
      <c r="F40" s="103"/>
      <c r="G40" s="24"/>
      <c r="H40" s="21"/>
      <c r="I40" s="21"/>
    </row>
    <row r="41" spans="1:9" ht="15" customHeight="1" x14ac:dyDescent="0.15">
      <c r="A41" s="87"/>
      <c r="B41" s="87"/>
      <c r="C41" s="87"/>
      <c r="D41" s="53"/>
      <c r="E41" s="84"/>
      <c r="F41" s="103"/>
      <c r="G41" s="24"/>
      <c r="H41" s="21"/>
      <c r="I41" s="21"/>
    </row>
    <row r="42" spans="1:9" ht="15" customHeight="1" x14ac:dyDescent="0.15">
      <c r="A42" s="87"/>
      <c r="B42" s="87"/>
      <c r="C42" s="87"/>
      <c r="D42" s="53"/>
      <c r="E42" s="84"/>
      <c r="F42" s="103"/>
      <c r="G42" s="24"/>
      <c r="H42" s="21"/>
      <c r="I42" s="21"/>
    </row>
    <row r="43" spans="1:9" ht="15" customHeight="1" x14ac:dyDescent="0.15">
      <c r="A43" s="87"/>
      <c r="B43" s="87"/>
      <c r="C43" s="87"/>
      <c r="D43" s="53"/>
      <c r="E43" s="84"/>
      <c r="F43" s="103"/>
      <c r="G43" s="24"/>
      <c r="H43" s="21"/>
      <c r="I43" s="21"/>
    </row>
    <row r="44" spans="1:9" ht="15" customHeight="1" x14ac:dyDescent="0.15">
      <c r="A44" s="87"/>
      <c r="B44" s="87"/>
      <c r="C44" s="87"/>
      <c r="D44" s="53"/>
      <c r="E44" s="84"/>
      <c r="F44" s="103"/>
      <c r="G44" s="24"/>
      <c r="H44" s="21"/>
      <c r="I44" s="21"/>
    </row>
    <row r="45" spans="1:9" ht="15" customHeight="1" x14ac:dyDescent="0.15">
      <c r="A45" s="87"/>
      <c r="B45" s="87"/>
      <c r="C45" s="87"/>
      <c r="D45" s="53"/>
      <c r="E45" s="84"/>
      <c r="F45" s="103"/>
      <c r="G45" s="24"/>
      <c r="H45" s="21"/>
      <c r="I45" s="21"/>
    </row>
    <row r="46" spans="1:9" ht="15" customHeight="1" x14ac:dyDescent="0.15">
      <c r="A46" s="87"/>
      <c r="B46" s="87"/>
      <c r="C46" s="87"/>
      <c r="D46" s="53"/>
      <c r="E46" s="84"/>
      <c r="F46" s="103"/>
      <c r="G46" s="24"/>
      <c r="H46" s="21"/>
      <c r="I46" s="21"/>
    </row>
    <row r="47" spans="1:9" ht="15" customHeight="1" x14ac:dyDescent="0.15">
      <c r="A47" s="87"/>
      <c r="B47" s="87"/>
      <c r="C47" s="87"/>
      <c r="D47" s="53"/>
      <c r="E47" s="84"/>
      <c r="F47" s="103"/>
      <c r="G47" s="24"/>
      <c r="H47" s="21"/>
      <c r="I47" s="21"/>
    </row>
    <row r="48" spans="1:9" ht="15" customHeight="1" x14ac:dyDescent="0.15">
      <c r="A48" s="87"/>
      <c r="B48" s="87"/>
      <c r="C48" s="87"/>
      <c r="D48" s="53"/>
      <c r="E48" s="84"/>
      <c r="F48" s="103"/>
      <c r="G48" s="24"/>
      <c r="H48" s="21"/>
      <c r="I48" s="21"/>
    </row>
    <row r="49" spans="1:9" ht="15" customHeight="1" x14ac:dyDescent="0.15">
      <c r="A49" s="87"/>
      <c r="B49" s="87"/>
      <c r="C49" s="87"/>
      <c r="D49" s="53"/>
      <c r="E49" s="84"/>
      <c r="F49" s="103"/>
      <c r="G49" s="24"/>
      <c r="H49" s="21"/>
      <c r="I49" s="21"/>
    </row>
    <row r="50" spans="1:9" ht="15" customHeight="1" x14ac:dyDescent="0.15">
      <c r="A50" s="87"/>
      <c r="B50" s="87"/>
      <c r="C50" s="87"/>
      <c r="D50" s="53"/>
      <c r="E50" s="84"/>
      <c r="F50" s="103"/>
      <c r="G50" s="24"/>
      <c r="H50" s="21"/>
      <c r="I50" s="21"/>
    </row>
    <row r="51" spans="1:9" ht="15" customHeight="1" x14ac:dyDescent="0.15">
      <c r="A51" s="87"/>
      <c r="B51" s="87"/>
      <c r="C51" s="87"/>
      <c r="D51" s="53"/>
      <c r="E51" s="84"/>
      <c r="F51" s="103"/>
      <c r="G51" s="24"/>
      <c r="H51" s="21"/>
      <c r="I51" s="21"/>
    </row>
    <row r="52" spans="1:9" ht="15" customHeight="1" x14ac:dyDescent="0.15">
      <c r="A52" s="87"/>
      <c r="B52" s="87"/>
      <c r="C52" s="87"/>
      <c r="D52" s="53"/>
      <c r="E52" s="84"/>
      <c r="F52" s="103"/>
      <c r="G52" s="24"/>
      <c r="H52" s="21"/>
      <c r="I52" s="21"/>
    </row>
    <row r="53" spans="1:9" ht="15" customHeight="1" x14ac:dyDescent="0.15">
      <c r="A53" s="87"/>
      <c r="B53" s="87"/>
      <c r="C53" s="87"/>
      <c r="D53" s="53"/>
      <c r="E53" s="84"/>
      <c r="F53" s="103"/>
      <c r="G53" s="24"/>
      <c r="H53" s="21"/>
      <c r="I53" s="21"/>
    </row>
    <row r="54" spans="1:9" ht="15" customHeight="1" x14ac:dyDescent="0.15">
      <c r="A54" s="87"/>
      <c r="B54" s="87"/>
      <c r="C54" s="87"/>
      <c r="D54" s="53"/>
      <c r="E54" s="84"/>
      <c r="F54" s="103"/>
      <c r="G54" s="24"/>
      <c r="H54" s="21"/>
      <c r="I54" s="21"/>
    </row>
    <row r="55" spans="1:9" ht="15" customHeight="1" x14ac:dyDescent="0.15">
      <c r="A55" s="87"/>
      <c r="B55" s="87"/>
      <c r="C55" s="87"/>
      <c r="D55" s="53"/>
      <c r="E55" s="84"/>
      <c r="F55" s="103"/>
      <c r="G55" s="24"/>
      <c r="H55" s="21"/>
      <c r="I55" s="21"/>
    </row>
    <row r="56" spans="1:9" ht="15" customHeight="1" x14ac:dyDescent="0.15">
      <c r="A56" s="87"/>
      <c r="B56" s="87"/>
      <c r="C56" s="87"/>
      <c r="D56" s="53"/>
      <c r="E56" s="84"/>
      <c r="F56" s="103"/>
      <c r="G56" s="24"/>
      <c r="H56" s="21"/>
      <c r="I56" s="21"/>
    </row>
    <row r="57" spans="1:9" ht="15" customHeight="1" x14ac:dyDescent="0.15">
      <c r="A57" s="87"/>
      <c r="B57" s="87"/>
      <c r="C57" s="87"/>
      <c r="D57" s="53"/>
      <c r="E57" s="84"/>
      <c r="F57" s="103"/>
      <c r="G57" s="24"/>
      <c r="H57" s="21"/>
      <c r="I57" s="21"/>
    </row>
    <row r="58" spans="1:9" ht="15" customHeight="1" x14ac:dyDescent="0.15">
      <c r="A58" s="87"/>
      <c r="B58" s="87"/>
      <c r="C58" s="87"/>
      <c r="D58" s="53"/>
      <c r="E58" s="84"/>
      <c r="F58" s="103"/>
      <c r="G58" s="24"/>
      <c r="H58" s="21"/>
      <c r="I58" s="21"/>
    </row>
    <row r="59" spans="1:9" ht="15" customHeight="1" x14ac:dyDescent="0.15">
      <c r="A59" s="87"/>
      <c r="B59" s="87"/>
      <c r="C59" s="87"/>
      <c r="D59" s="53"/>
      <c r="E59" s="84"/>
      <c r="F59" s="103"/>
      <c r="G59" s="24"/>
      <c r="H59" s="21"/>
      <c r="I59" s="21"/>
    </row>
    <row r="60" spans="1:9" ht="15" customHeight="1" x14ac:dyDescent="0.15">
      <c r="A60" s="87"/>
      <c r="B60" s="87"/>
      <c r="C60" s="87"/>
      <c r="D60" s="53"/>
      <c r="E60" s="84"/>
      <c r="F60" s="103"/>
      <c r="G60" s="24"/>
      <c r="H60" s="21"/>
      <c r="I60" s="21"/>
    </row>
    <row r="61" spans="1:9" ht="15" customHeight="1" x14ac:dyDescent="0.15">
      <c r="A61" s="87"/>
      <c r="B61" s="87"/>
      <c r="C61" s="87"/>
      <c r="D61" s="53"/>
      <c r="E61" s="84"/>
      <c r="F61" s="103"/>
      <c r="G61" s="24"/>
      <c r="H61" s="21"/>
      <c r="I61" s="21"/>
    </row>
    <row r="62" spans="1:9" ht="15" customHeight="1" x14ac:dyDescent="0.15">
      <c r="A62" s="87"/>
      <c r="B62" s="87"/>
      <c r="C62" s="87"/>
      <c r="D62" s="53"/>
      <c r="E62" s="84"/>
      <c r="F62" s="103"/>
      <c r="G62" s="24"/>
      <c r="H62" s="21"/>
      <c r="I62" s="21"/>
    </row>
    <row r="63" spans="1:9" ht="15" customHeight="1" x14ac:dyDescent="0.15">
      <c r="A63" s="87"/>
      <c r="B63" s="87"/>
      <c r="C63" s="87"/>
      <c r="D63" s="53"/>
      <c r="E63" s="84"/>
      <c r="F63" s="103"/>
      <c r="G63" s="24"/>
      <c r="H63" s="21"/>
      <c r="I63" s="21"/>
    </row>
    <row r="64" spans="1:9" ht="15" customHeight="1" x14ac:dyDescent="0.15">
      <c r="A64" s="87"/>
      <c r="B64" s="87"/>
      <c r="C64" s="87"/>
      <c r="D64" s="53"/>
      <c r="E64" s="84"/>
      <c r="F64" s="103"/>
      <c r="G64" s="24"/>
      <c r="H64" s="21"/>
      <c r="I64" s="21"/>
    </row>
    <row r="65" spans="1:9" ht="15" customHeight="1" x14ac:dyDescent="0.15">
      <c r="A65" s="87"/>
      <c r="B65" s="87"/>
      <c r="C65" s="87"/>
      <c r="D65" s="53"/>
      <c r="E65" s="84"/>
      <c r="F65" s="103"/>
      <c r="G65" s="24"/>
      <c r="H65" s="21"/>
      <c r="I65" s="21"/>
    </row>
    <row r="66" spans="1:9" ht="15" customHeight="1" x14ac:dyDescent="0.15">
      <c r="A66" s="87"/>
      <c r="B66" s="87"/>
      <c r="C66" s="87"/>
      <c r="D66" s="53"/>
      <c r="E66" s="84"/>
      <c r="F66" s="103"/>
      <c r="G66" s="24"/>
      <c r="H66" s="21"/>
      <c r="I66" s="21"/>
    </row>
    <row r="67" spans="1:9" ht="15" customHeight="1" x14ac:dyDescent="0.15">
      <c r="A67" s="87"/>
      <c r="B67" s="87"/>
      <c r="C67" s="87"/>
      <c r="D67" s="53"/>
      <c r="E67" s="84"/>
      <c r="F67" s="103"/>
      <c r="G67" s="24"/>
      <c r="H67" s="21"/>
      <c r="I67" s="21"/>
    </row>
    <row r="68" spans="1:9" ht="15" customHeight="1" x14ac:dyDescent="0.15">
      <c r="A68" s="87"/>
      <c r="B68" s="87"/>
      <c r="C68" s="87"/>
      <c r="D68" s="53"/>
      <c r="E68" s="84"/>
      <c r="F68" s="103"/>
      <c r="G68" s="24"/>
      <c r="H68" s="21"/>
      <c r="I68" s="21"/>
    </row>
    <row r="69" spans="1:9" ht="15" customHeight="1" x14ac:dyDescent="0.15">
      <c r="A69" s="87"/>
      <c r="B69" s="87"/>
      <c r="C69" s="87"/>
      <c r="D69" s="53"/>
      <c r="E69" s="84"/>
      <c r="F69" s="103"/>
      <c r="G69" s="24"/>
      <c r="H69" s="21"/>
      <c r="I69" s="21"/>
    </row>
    <row r="70" spans="1:9" ht="15" customHeight="1" x14ac:dyDescent="0.15">
      <c r="A70" s="87"/>
      <c r="B70" s="87"/>
      <c r="C70" s="87"/>
      <c r="D70" s="53"/>
      <c r="E70" s="84"/>
      <c r="F70" s="103"/>
      <c r="G70" s="24"/>
      <c r="H70" s="21"/>
      <c r="I70" s="21"/>
    </row>
    <row r="71" spans="1:9" ht="15" customHeight="1" x14ac:dyDescent="0.15">
      <c r="A71" s="87"/>
      <c r="B71" s="87"/>
      <c r="C71" s="87"/>
      <c r="D71" s="53"/>
      <c r="E71" s="84"/>
      <c r="F71" s="103"/>
      <c r="G71" s="24"/>
      <c r="H71" s="21"/>
      <c r="I71" s="21"/>
    </row>
    <row r="72" spans="1:9" ht="15" customHeight="1" x14ac:dyDescent="0.15">
      <c r="A72" s="87"/>
      <c r="B72" s="87"/>
      <c r="C72" s="87"/>
      <c r="D72" s="53"/>
      <c r="E72" s="84"/>
      <c r="F72" s="103"/>
      <c r="G72" s="24"/>
      <c r="H72" s="21"/>
      <c r="I72" s="21"/>
    </row>
    <row r="73" spans="1:9" ht="15" customHeight="1" x14ac:dyDescent="0.15">
      <c r="A73" s="87"/>
      <c r="B73" s="87"/>
      <c r="C73" s="87"/>
      <c r="D73" s="53"/>
      <c r="E73" s="84"/>
      <c r="F73" s="103"/>
      <c r="G73" s="24"/>
      <c r="H73" s="21"/>
      <c r="I73" s="21"/>
    </row>
    <row r="74" spans="1:9" ht="15" customHeight="1" x14ac:dyDescent="0.15">
      <c r="A74" s="87"/>
      <c r="B74" s="87"/>
      <c r="C74" s="87"/>
      <c r="D74" s="53"/>
      <c r="E74" s="84"/>
      <c r="F74" s="103"/>
      <c r="G74" s="24"/>
      <c r="H74" s="21"/>
      <c r="I74" s="21"/>
    </row>
    <row r="75" spans="1:9" ht="15" customHeight="1" x14ac:dyDescent="0.15">
      <c r="A75" s="87"/>
      <c r="B75" s="87"/>
      <c r="C75" s="87"/>
      <c r="D75" s="53"/>
      <c r="E75" s="84"/>
      <c r="F75" s="103"/>
      <c r="G75" s="24"/>
      <c r="H75" s="21"/>
      <c r="I75" s="21"/>
    </row>
    <row r="76" spans="1:9" ht="15" customHeight="1" x14ac:dyDescent="0.15">
      <c r="A76" s="87"/>
      <c r="B76" s="87"/>
      <c r="C76" s="87"/>
      <c r="D76" s="53"/>
      <c r="E76" s="84"/>
      <c r="F76" s="103"/>
      <c r="G76" s="24"/>
      <c r="H76" s="21"/>
      <c r="I76" s="21"/>
    </row>
    <row r="77" spans="1:9" ht="15" customHeight="1" x14ac:dyDescent="0.15">
      <c r="A77" s="87"/>
      <c r="B77" s="87"/>
      <c r="C77" s="87"/>
      <c r="D77" s="53"/>
      <c r="E77" s="84"/>
      <c r="F77" s="103"/>
      <c r="G77" s="24"/>
      <c r="H77" s="21"/>
      <c r="I77" s="21"/>
    </row>
    <row r="78" spans="1:9" ht="15" customHeight="1" x14ac:dyDescent="0.15">
      <c r="A78" s="87"/>
      <c r="B78" s="87"/>
      <c r="C78" s="87"/>
      <c r="D78" s="53"/>
      <c r="E78" s="84"/>
      <c r="F78" s="103"/>
      <c r="G78" s="24"/>
      <c r="H78" s="21"/>
      <c r="I78" s="21"/>
    </row>
    <row r="79" spans="1:9" ht="15" customHeight="1" x14ac:dyDescent="0.15">
      <c r="A79" s="87"/>
      <c r="B79" s="87"/>
      <c r="C79" s="87"/>
      <c r="D79" s="53"/>
      <c r="E79" s="84"/>
      <c r="F79" s="103"/>
      <c r="G79" s="24"/>
      <c r="H79" s="21"/>
      <c r="I79" s="21"/>
    </row>
    <row r="80" spans="1:9" ht="15" customHeight="1" x14ac:dyDescent="0.15">
      <c r="A80" s="87"/>
      <c r="B80" s="87"/>
      <c r="C80" s="87"/>
      <c r="D80" s="53"/>
      <c r="E80" s="84"/>
      <c r="F80" s="103"/>
      <c r="G80" s="24"/>
      <c r="H80" s="21"/>
      <c r="I80" s="21"/>
    </row>
    <row r="81" spans="1:9" ht="15" customHeight="1" x14ac:dyDescent="0.15">
      <c r="A81" s="87"/>
      <c r="B81" s="87"/>
      <c r="C81" s="87"/>
      <c r="D81" s="53"/>
      <c r="E81" s="84"/>
      <c r="F81" s="103"/>
      <c r="G81" s="24"/>
      <c r="H81" s="21"/>
      <c r="I81" s="21"/>
    </row>
    <row r="82" spans="1:9" ht="15" customHeight="1" x14ac:dyDescent="0.15">
      <c r="A82" s="87"/>
      <c r="B82" s="87"/>
      <c r="C82" s="87"/>
      <c r="D82" s="53"/>
      <c r="E82" s="84"/>
      <c r="F82" s="103"/>
      <c r="G82" s="24"/>
      <c r="H82" s="21"/>
      <c r="I82" s="21"/>
    </row>
    <row r="83" spans="1:9" ht="15" customHeight="1" x14ac:dyDescent="0.15">
      <c r="A83" s="87"/>
      <c r="B83" s="87"/>
      <c r="C83" s="87"/>
      <c r="D83" s="53"/>
      <c r="E83" s="84"/>
      <c r="F83" s="103"/>
      <c r="G83" s="24"/>
      <c r="H83" s="21"/>
      <c r="I83" s="21"/>
    </row>
    <row r="84" spans="1:9" ht="15" customHeight="1" x14ac:dyDescent="0.15">
      <c r="A84" s="87"/>
      <c r="B84" s="87"/>
      <c r="C84" s="87"/>
      <c r="D84" s="53"/>
      <c r="E84" s="84"/>
      <c r="F84" s="103"/>
      <c r="G84" s="24"/>
      <c r="H84" s="21"/>
      <c r="I84" s="21"/>
    </row>
    <row r="85" spans="1:9" ht="15" customHeight="1" x14ac:dyDescent="0.15">
      <c r="A85" s="87"/>
      <c r="B85" s="87"/>
      <c r="C85" s="87"/>
      <c r="D85" s="53"/>
      <c r="E85" s="84"/>
      <c r="F85" s="103"/>
      <c r="G85" s="24"/>
      <c r="H85" s="21"/>
      <c r="I85" s="21"/>
    </row>
    <row r="86" spans="1:9" ht="15" customHeight="1" x14ac:dyDescent="0.15">
      <c r="A86" s="87"/>
      <c r="B86" s="87"/>
      <c r="C86" s="87"/>
      <c r="D86" s="53"/>
      <c r="E86" s="84"/>
      <c r="F86" s="103"/>
      <c r="G86" s="24"/>
      <c r="H86" s="21"/>
      <c r="I86" s="21"/>
    </row>
    <row r="87" spans="1:9" ht="15" customHeight="1" x14ac:dyDescent="0.15">
      <c r="A87" s="87"/>
      <c r="B87" s="87"/>
      <c r="C87" s="87"/>
      <c r="D87" s="53"/>
      <c r="E87" s="84"/>
      <c r="F87" s="103"/>
      <c r="G87" s="24"/>
      <c r="H87" s="21"/>
      <c r="I87" s="21"/>
    </row>
    <row r="88" spans="1:9" ht="15" customHeight="1" x14ac:dyDescent="0.15">
      <c r="A88" s="87"/>
      <c r="B88" s="87"/>
      <c r="C88" s="87"/>
      <c r="D88" s="53"/>
      <c r="E88" s="84"/>
      <c r="F88" s="103"/>
      <c r="G88" s="24"/>
      <c r="H88" s="21"/>
      <c r="I88" s="21"/>
    </row>
    <row r="89" spans="1:9" ht="15" customHeight="1" x14ac:dyDescent="0.15">
      <c r="A89" s="87"/>
      <c r="B89" s="87"/>
      <c r="C89" s="87"/>
      <c r="D89" s="53"/>
      <c r="E89" s="84"/>
      <c r="F89" s="103"/>
      <c r="G89" s="24"/>
      <c r="H89" s="21"/>
      <c r="I89" s="21"/>
    </row>
    <row r="90" spans="1:9" ht="15" customHeight="1" x14ac:dyDescent="0.15">
      <c r="A90" s="87"/>
      <c r="B90" s="87"/>
      <c r="C90" s="87"/>
      <c r="D90" s="53"/>
      <c r="E90" s="84"/>
      <c r="F90" s="103"/>
      <c r="G90" s="24"/>
      <c r="H90" s="21"/>
      <c r="I90" s="21"/>
    </row>
    <row r="91" spans="1:9" ht="15" customHeight="1" x14ac:dyDescent="0.15">
      <c r="A91" s="87"/>
      <c r="B91" s="87"/>
      <c r="C91" s="87"/>
      <c r="D91" s="53"/>
      <c r="E91" s="84"/>
      <c r="F91" s="103"/>
      <c r="G91" s="24"/>
      <c r="H91" s="21"/>
      <c r="I91" s="21"/>
    </row>
    <row r="92" spans="1:9" ht="15" customHeight="1" x14ac:dyDescent="0.15">
      <c r="A92" s="87"/>
      <c r="B92" s="87"/>
      <c r="C92" s="87"/>
      <c r="D92" s="53"/>
      <c r="E92" s="84"/>
      <c r="F92" s="103"/>
      <c r="G92" s="24"/>
      <c r="H92" s="21"/>
      <c r="I92" s="21"/>
    </row>
    <row r="93" spans="1:9" ht="15" customHeight="1" x14ac:dyDescent="0.15">
      <c r="A93" s="87"/>
      <c r="B93" s="87"/>
      <c r="C93" s="87"/>
      <c r="D93" s="53"/>
      <c r="E93" s="84"/>
      <c r="F93" s="103"/>
      <c r="G93" s="24"/>
      <c r="H93" s="21"/>
      <c r="I93" s="21"/>
    </row>
    <row r="94" spans="1:9" ht="15" customHeight="1" x14ac:dyDescent="0.15">
      <c r="A94" s="87"/>
      <c r="B94" s="87"/>
      <c r="C94" s="87"/>
      <c r="D94" s="53"/>
      <c r="E94" s="84"/>
      <c r="F94" s="103"/>
      <c r="G94" s="24"/>
      <c r="H94" s="21"/>
      <c r="I94" s="21"/>
    </row>
    <row r="95" spans="1:9" ht="15" customHeight="1" x14ac:dyDescent="0.15">
      <c r="A95" s="87"/>
      <c r="B95" s="87"/>
      <c r="C95" s="87"/>
      <c r="D95" s="53"/>
      <c r="E95" s="84"/>
      <c r="F95" s="103"/>
      <c r="G95" s="24"/>
      <c r="H95" s="21"/>
      <c r="I95" s="21"/>
    </row>
    <row r="96" spans="1:9" ht="15" customHeight="1" x14ac:dyDescent="0.15">
      <c r="A96" s="87"/>
      <c r="B96" s="87"/>
      <c r="C96" s="87"/>
      <c r="D96" s="53"/>
      <c r="E96" s="84"/>
      <c r="F96" s="103"/>
      <c r="G96" s="24"/>
      <c r="H96" s="21"/>
      <c r="I96" s="21"/>
    </row>
    <row r="97" spans="1:9" ht="15" customHeight="1" x14ac:dyDescent="0.15">
      <c r="A97" s="87"/>
      <c r="B97" s="87"/>
      <c r="C97" s="87"/>
      <c r="D97" s="53"/>
      <c r="E97" s="84"/>
      <c r="F97" s="103"/>
      <c r="G97" s="24"/>
      <c r="H97" s="21"/>
      <c r="I97" s="21"/>
    </row>
    <row r="98" spans="1:9" ht="15" customHeight="1" x14ac:dyDescent="0.15">
      <c r="A98" s="87"/>
      <c r="B98" s="87"/>
      <c r="C98" s="87"/>
      <c r="D98" s="53"/>
      <c r="E98" s="84"/>
      <c r="F98" s="103"/>
      <c r="G98" s="24"/>
      <c r="H98" s="21"/>
      <c r="I98" s="21"/>
    </row>
    <row r="99" spans="1:9" ht="15" customHeight="1" x14ac:dyDescent="0.15">
      <c r="A99" s="87"/>
      <c r="B99" s="87"/>
      <c r="C99" s="87"/>
      <c r="D99" s="53"/>
      <c r="E99" s="84"/>
      <c r="F99" s="103"/>
      <c r="G99" s="24"/>
      <c r="H99" s="21"/>
      <c r="I99" s="21"/>
    </row>
    <row r="100" spans="1:9" ht="15" customHeight="1" x14ac:dyDescent="0.15">
      <c r="A100" s="87"/>
      <c r="B100" s="87"/>
      <c r="C100" s="87"/>
      <c r="D100" s="53"/>
      <c r="E100" s="84"/>
      <c r="F100" s="103"/>
      <c r="G100" s="24"/>
      <c r="H100" s="21"/>
      <c r="I100" s="21"/>
    </row>
    <row r="101" spans="1:9" ht="15" customHeight="1" x14ac:dyDescent="0.15">
      <c r="G101" s="24"/>
      <c r="H101" s="21"/>
    </row>
    <row r="102" spans="1:9" ht="15" customHeight="1" x14ac:dyDescent="0.15">
      <c r="G102" s="24"/>
      <c r="H102" s="21"/>
    </row>
    <row r="103" spans="1:9" ht="15" customHeight="1" x14ac:dyDescent="0.15">
      <c r="G103" s="24"/>
      <c r="H103" s="21"/>
    </row>
    <row r="104" spans="1:9" ht="15" customHeight="1" x14ac:dyDescent="0.15">
      <c r="G104" s="24"/>
      <c r="H104" s="21"/>
    </row>
    <row r="105" spans="1:9" ht="15" customHeight="1" x14ac:dyDescent="0.15">
      <c r="G105" s="24"/>
      <c r="H105" s="21"/>
    </row>
    <row r="106" spans="1:9" ht="15" customHeight="1" x14ac:dyDescent="0.15">
      <c r="G106" s="24"/>
      <c r="H106" s="21"/>
    </row>
    <row r="107" spans="1:9" ht="15" customHeight="1" x14ac:dyDescent="0.15">
      <c r="G107" s="24"/>
      <c r="H107" s="21"/>
    </row>
    <row r="108" spans="1:9" ht="15" customHeight="1" x14ac:dyDescent="0.15">
      <c r="G108" s="24"/>
      <c r="H108" s="21"/>
    </row>
    <row r="109" spans="1:9" ht="15" customHeight="1" x14ac:dyDescent="0.15">
      <c r="G109" s="24"/>
      <c r="H109" s="21"/>
    </row>
    <row r="110" spans="1:9" ht="15" customHeight="1" x14ac:dyDescent="0.15">
      <c r="G110" s="24"/>
      <c r="H110" s="21"/>
    </row>
    <row r="111" spans="1:9" ht="15" customHeight="1" x14ac:dyDescent="0.15">
      <c r="H111" s="29"/>
    </row>
    <row r="112" spans="1:9" ht="15" customHeight="1" x14ac:dyDescent="0.15">
      <c r="H112" s="29"/>
    </row>
    <row r="113" spans="8:8" ht="15" customHeight="1" x14ac:dyDescent="0.15">
      <c r="H113" s="29"/>
    </row>
    <row r="114" spans="8:8" ht="15" customHeight="1" x14ac:dyDescent="0.15">
      <c r="H114" s="29"/>
    </row>
    <row r="115" spans="8:8" ht="15" customHeight="1" x14ac:dyDescent="0.15">
      <c r="H115" s="29"/>
    </row>
    <row r="116" spans="8:8" ht="15" customHeight="1" x14ac:dyDescent="0.15">
      <c r="H116" s="29"/>
    </row>
    <row r="117" spans="8:8" ht="15" customHeight="1" x14ac:dyDescent="0.15">
      <c r="H117" s="29"/>
    </row>
    <row r="118" spans="8:8" ht="15" customHeight="1" x14ac:dyDescent="0.15">
      <c r="H118" s="29"/>
    </row>
    <row r="119" spans="8:8" ht="15" customHeight="1" x14ac:dyDescent="0.15">
      <c r="H119" s="29"/>
    </row>
    <row r="120" spans="8:8" ht="15" customHeight="1" x14ac:dyDescent="0.15">
      <c r="H120" s="29"/>
    </row>
  </sheetData>
  <mergeCells count="9">
    <mergeCell ref="A1:XFD1"/>
    <mergeCell ref="A6:B6"/>
    <mergeCell ref="C6:F6"/>
    <mergeCell ref="A3:B3"/>
    <mergeCell ref="C3:F3"/>
    <mergeCell ref="A4:B4"/>
    <mergeCell ref="C4:F4"/>
    <mergeCell ref="A5:B5"/>
    <mergeCell ref="C5:F5"/>
  </mergeCells>
  <conditionalFormatting sqref="C3">
    <cfRule type="containsBlanks" dxfId="10" priority="2">
      <formula>LEN(TRIM(C3))=0</formula>
    </cfRule>
  </conditionalFormatting>
  <conditionalFormatting sqref="A9:D108 F9:I108">
    <cfRule type="expression" dxfId="9" priority="1">
      <formula>AND(COUNTA($A9:$M9)&gt;0,ISBLANK(A9))</formula>
    </cfRule>
  </conditionalFormatting>
  <dataValidations count="10">
    <dataValidation type="list" showErrorMessage="1" sqref="C3" xr:uid="{82836026-72CF-9541-B0F3-99D5517CE739}">
      <formula1>GeneralCondition</formula1>
    </dataValidation>
    <dataValidation type="list" allowBlank="1" showErrorMessage="1" sqref="C4" xr:uid="{27B8C961-D640-4245-8E20-8A10FB5729F3}">
      <formula1>Prioritization</formula1>
    </dataValidation>
    <dataValidation type="textLength" operator="lessThanOrEqual" allowBlank="1" showInputMessage="1" showErrorMessage="1" prompt="Max. 1000 Zeichen." sqref="C5" xr:uid="{40897212-B75A-D844-8044-05B7B3133A16}">
      <formula1>1000</formula1>
    </dataValidation>
    <dataValidation type="textLength" operator="lessThanOrEqual" allowBlank="1" showInputMessage="1" showErrorMessage="1" prompt="Max. 1000 Zeichen." sqref="C6" xr:uid="{DE91EEFC-49C7-5944-B34D-B65746E8EBDE}">
      <formula1>1000</formula1>
    </dataValidation>
    <dataValidation type="list" showInputMessage="1" prompt="Max. 5 Zeichen." sqref="A9:A108" xr:uid="{214DC99D-4972-B947-BA0E-8281A23B6754}">
      <formula1>WS16ExpertCodes</formula1>
    </dataValidation>
    <dataValidation type="list" showErrorMessage="1" sqref="B9:B108" xr:uid="{86DFCF27-BE68-CB4A-821C-E778EB454449}">
      <formula1>ElectricityProducerType</formula1>
    </dataValidation>
    <dataValidation type="list" showInputMessage="1" showErrorMessage="1" prompt="Max. 5 Zeichen." sqref="C9:C108" xr:uid="{A189CDD4-95C5-F145-BE6E-24B02D907AA4}">
      <formula1>HeatProducerExpertCodes</formula1>
    </dataValidation>
    <dataValidation type="list" showErrorMessage="1" sqref="I9:I108" xr:uid="{939353F7-8F6C-CF47-B034-0F21B006560B}">
      <formula1>Boolean</formula1>
    </dataValidation>
    <dataValidation type="list" showErrorMessage="1" sqref="L9:L108" xr:uid="{A1F892BF-E003-1B49-9F1E-B22F63EE0D9D}">
      <formula1>CalculationBase_OnlyLump</formula1>
    </dataValidation>
    <dataValidation type="textLength" operator="lessThanOrEqual" allowBlank="1" showInputMessage="1" showErrorMessage="1" prompt="Max. 250 Zeichen." sqref="D9:D109" xr:uid="{5E3D155A-6AFA-9148-8551-6F89A7B151AC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0481-100C-904A-AD43-4F9818817C2B}">
  <dimension ref="A1:W135"/>
  <sheetViews>
    <sheetView zoomScaleNormal="100" workbookViewId="0"/>
  </sheetViews>
  <sheetFormatPr baseColWidth="10" defaultColWidth="9.1640625" defaultRowHeight="15" customHeight="1" x14ac:dyDescent="0.15"/>
  <cols>
    <col min="1" max="1" width="8.33203125" style="86" customWidth="1"/>
    <col min="2" max="2" width="12.5" style="1" customWidth="1"/>
    <col min="3" max="3" width="29.5" style="1" customWidth="1"/>
    <col min="4" max="4" width="31.6640625" style="1" customWidth="1"/>
    <col min="5" max="5" width="23.5" style="1" customWidth="1"/>
    <col min="6" max="6" width="25.5" style="1" customWidth="1"/>
    <col min="7" max="7" width="22.33203125" style="1" customWidth="1"/>
    <col min="8" max="8" width="20.5" style="1" customWidth="1"/>
    <col min="9" max="9" width="16.6640625" style="1" bestFit="1" customWidth="1"/>
    <col min="10" max="10" width="23" style="1" customWidth="1"/>
    <col min="11" max="11" width="16.6640625" style="1" bestFit="1" customWidth="1"/>
    <col min="12" max="12" width="16.1640625" style="1" bestFit="1" customWidth="1"/>
    <col min="13" max="13" width="22.1640625" style="1" customWidth="1"/>
    <col min="14" max="14" width="16.1640625" style="1" bestFit="1" customWidth="1"/>
    <col min="15" max="15" width="6.33203125" style="1" bestFit="1" customWidth="1"/>
    <col min="16" max="16" width="23.5" style="1" bestFit="1" customWidth="1"/>
    <col min="17" max="17" width="9.6640625" style="1" bestFit="1" customWidth="1"/>
    <col min="18" max="18" width="10" style="1" bestFit="1" customWidth="1"/>
    <col min="19" max="19" width="11.33203125" style="1" bestFit="1" customWidth="1"/>
    <col min="20" max="20" width="10.5" style="1" bestFit="1" customWidth="1"/>
    <col min="21" max="21" width="18.33203125" style="1" bestFit="1" customWidth="1"/>
    <col min="22" max="22" width="34.1640625" style="1" bestFit="1" customWidth="1"/>
    <col min="23" max="16384" width="9.1640625" style="1"/>
  </cols>
  <sheetData>
    <row r="1" spans="1:23" s="197" customFormat="1" ht="15" customHeight="1" thickBot="1" x14ac:dyDescent="0.2">
      <c r="A1" s="177" t="s">
        <v>195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</row>
    <row r="2" spans="1:23" ht="40.5" customHeight="1" x14ac:dyDescent="0.15"/>
    <row r="3" spans="1:23" s="34" customFormat="1" ht="30" customHeight="1" x14ac:dyDescent="0.15">
      <c r="A3" s="168" t="s">
        <v>343</v>
      </c>
      <c r="B3" s="183"/>
      <c r="C3" s="157"/>
      <c r="D3" s="157"/>
      <c r="E3" s="157"/>
      <c r="F3" s="157"/>
    </row>
    <row r="4" spans="1:23" ht="15" customHeight="1" x14ac:dyDescent="0.15">
      <c r="A4" s="159" t="s">
        <v>193</v>
      </c>
      <c r="B4" s="216"/>
      <c r="C4" s="157"/>
      <c r="D4" s="157"/>
      <c r="E4" s="157"/>
      <c r="F4" s="157"/>
      <c r="G4" s="21"/>
      <c r="H4" s="30"/>
      <c r="I4" s="21"/>
    </row>
    <row r="5" spans="1:23" ht="62.25" customHeight="1" x14ac:dyDescent="0.15">
      <c r="A5" s="155" t="s">
        <v>18</v>
      </c>
      <c r="B5" s="172"/>
      <c r="C5" s="157"/>
      <c r="D5" s="157"/>
      <c r="E5" s="157"/>
      <c r="F5" s="157"/>
      <c r="G5" s="21"/>
      <c r="H5" s="30"/>
      <c r="I5" s="21"/>
    </row>
    <row r="6" spans="1:23" ht="62.25" customHeight="1" x14ac:dyDescent="0.15">
      <c r="A6" s="155" t="s">
        <v>91</v>
      </c>
      <c r="B6" s="172"/>
      <c r="C6" s="157"/>
      <c r="D6" s="157"/>
      <c r="E6" s="157"/>
      <c r="F6" s="157"/>
      <c r="G6" s="21"/>
      <c r="H6" s="30"/>
      <c r="I6" s="2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" customHeight="1" x14ac:dyDescent="0.15">
      <c r="A7" s="87"/>
      <c r="B7" s="87"/>
      <c r="C7" s="87"/>
      <c r="D7" s="53"/>
      <c r="E7" s="84"/>
      <c r="F7" s="53"/>
      <c r="G7" s="21"/>
      <c r="H7" s="30"/>
      <c r="I7" s="2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s="219" customFormat="1" ht="15" customHeight="1" x14ac:dyDescent="0.15">
      <c r="A8" s="217" t="s">
        <v>57</v>
      </c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</row>
    <row r="9" spans="1:23" ht="15" customHeight="1" x14ac:dyDescent="0.15">
      <c r="A9" s="95"/>
      <c r="B9" s="95"/>
      <c r="C9" s="95"/>
      <c r="D9" s="94"/>
      <c r="E9" s="84"/>
      <c r="F9" s="94"/>
      <c r="G9" s="21"/>
      <c r="H9" s="30"/>
      <c r="I9" s="2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34.5" customHeight="1" x14ac:dyDescent="0.2">
      <c r="A10" s="98" t="s">
        <v>16</v>
      </c>
      <c r="B10" s="99" t="s">
        <v>206</v>
      </c>
      <c r="C10" s="97" t="s">
        <v>27</v>
      </c>
      <c r="D10" s="97" t="s">
        <v>207</v>
      </c>
      <c r="E10" s="99" t="s">
        <v>208</v>
      </c>
      <c r="F10" s="99" t="s">
        <v>201</v>
      </c>
      <c r="G10" s="99" t="s">
        <v>204</v>
      </c>
      <c r="H10" s="99" t="s">
        <v>205</v>
      </c>
      <c r="I10" s="96" t="s">
        <v>196</v>
      </c>
      <c r="J10" s="96" t="s">
        <v>197</v>
      </c>
      <c r="L10" s="6"/>
      <c r="M10" s="6"/>
      <c r="N10" s="93"/>
      <c r="O10" s="93"/>
      <c r="P10" s="93"/>
      <c r="Q10" s="93"/>
      <c r="R10" s="93"/>
      <c r="S10" s="93"/>
      <c r="T10" s="93"/>
      <c r="U10" s="93"/>
      <c r="V10" s="93"/>
      <c r="W10" s="93"/>
    </row>
    <row r="11" spans="1:23" ht="15" customHeight="1" x14ac:dyDescent="0.15">
      <c r="A11" s="102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23" ht="15" customHeight="1" x14ac:dyDescent="0.15">
      <c r="A12" s="100"/>
      <c r="B12" s="100"/>
      <c r="C12" s="100"/>
      <c r="D12" s="94"/>
      <c r="E12" s="29"/>
      <c r="F12" s="94"/>
      <c r="G12" s="29"/>
      <c r="H12" s="29"/>
      <c r="I12" s="29"/>
      <c r="J12" s="29"/>
      <c r="K12" s="29"/>
    </row>
    <row r="13" spans="1:23" ht="15" customHeight="1" x14ac:dyDescent="0.15">
      <c r="A13" s="100"/>
      <c r="B13" s="100"/>
      <c r="C13" s="100"/>
      <c r="D13" s="94"/>
      <c r="E13" s="29"/>
      <c r="F13" s="94"/>
      <c r="G13" s="29"/>
      <c r="H13" s="29"/>
      <c r="I13" s="29"/>
      <c r="J13" s="29"/>
      <c r="K13" s="29"/>
    </row>
    <row r="14" spans="1:23" ht="15" customHeight="1" x14ac:dyDescent="0.15">
      <c r="A14" s="102"/>
      <c r="B14" s="100"/>
      <c r="C14" s="100"/>
      <c r="D14" s="94"/>
      <c r="E14" s="29"/>
      <c r="F14" s="94"/>
      <c r="G14" s="29"/>
      <c r="H14" s="29"/>
      <c r="I14" s="29"/>
      <c r="J14" s="29"/>
      <c r="K14" s="29"/>
    </row>
    <row r="15" spans="1:23" ht="15" customHeight="1" x14ac:dyDescent="0.15">
      <c r="A15" s="95"/>
      <c r="B15" s="95"/>
      <c r="C15" s="95"/>
      <c r="D15" s="94"/>
      <c r="E15" s="84"/>
      <c r="F15" s="94"/>
      <c r="G15" s="21"/>
      <c r="H15" s="30"/>
      <c r="I15" s="21"/>
    </row>
    <row r="16" spans="1:23" s="218" customFormat="1" ht="15" customHeight="1" x14ac:dyDescent="0.15">
      <c r="A16" s="220" t="s">
        <v>90</v>
      </c>
    </row>
    <row r="17" spans="1:23" ht="15" customHeight="1" x14ac:dyDescent="0.15">
      <c r="A17" s="95"/>
      <c r="B17" s="95"/>
      <c r="C17" s="95"/>
      <c r="D17" s="94"/>
      <c r="E17" s="84"/>
      <c r="F17" s="94"/>
      <c r="G17" s="21"/>
      <c r="H17" s="30"/>
      <c r="I17" s="21"/>
    </row>
    <row r="18" spans="1:23" ht="33" customHeight="1" x14ac:dyDescent="0.2">
      <c r="A18" s="123" t="s">
        <v>16</v>
      </c>
      <c r="B18" s="123" t="s">
        <v>21</v>
      </c>
      <c r="C18" s="123" t="s">
        <v>190</v>
      </c>
      <c r="D18" s="130" t="s">
        <v>27</v>
      </c>
      <c r="E18" s="131" t="s">
        <v>199</v>
      </c>
      <c r="F18" s="130" t="s">
        <v>55</v>
      </c>
      <c r="G18" s="132" t="s">
        <v>200</v>
      </c>
      <c r="H18" s="132" t="s">
        <v>202</v>
      </c>
      <c r="I18" s="119" t="s">
        <v>203</v>
      </c>
      <c r="J18" s="133" t="s">
        <v>201</v>
      </c>
      <c r="K18" s="119" t="s">
        <v>204</v>
      </c>
      <c r="L18" s="119" t="s">
        <v>205</v>
      </c>
      <c r="M18" s="119" t="s">
        <v>196</v>
      </c>
      <c r="N18" s="119" t="s">
        <v>197</v>
      </c>
      <c r="O18" s="92"/>
      <c r="P18" s="92"/>
      <c r="Q18" s="92"/>
      <c r="R18" s="92"/>
      <c r="S18" s="92"/>
      <c r="T18" s="92"/>
      <c r="U18" s="92"/>
      <c r="V18" s="92"/>
      <c r="W18" s="92"/>
    </row>
    <row r="19" spans="1:23" ht="15" customHeight="1" x14ac:dyDescent="0.15">
      <c r="A19" s="100"/>
      <c r="B19" s="94"/>
      <c r="C19" s="94"/>
      <c r="D19" s="94"/>
      <c r="E19" s="101"/>
      <c r="F19" s="94"/>
      <c r="G19" s="101"/>
      <c r="H19" s="101"/>
      <c r="I19" s="101"/>
      <c r="J19" s="101"/>
      <c r="L19" s="101"/>
      <c r="M19" s="101"/>
      <c r="N19" s="29"/>
    </row>
    <row r="20" spans="1:23" ht="15" customHeight="1" x14ac:dyDescent="0.15">
      <c r="A20" s="100"/>
      <c r="B20" s="100"/>
      <c r="C20" s="100"/>
      <c r="D20" s="94"/>
      <c r="E20" s="29"/>
      <c r="F20" s="94"/>
      <c r="G20" s="29"/>
      <c r="H20" s="29"/>
      <c r="I20" s="29"/>
      <c r="J20" s="29"/>
      <c r="K20" s="29"/>
      <c r="L20" s="29"/>
      <c r="M20" s="29"/>
      <c r="N20" s="29"/>
    </row>
    <row r="21" spans="1:23" ht="15" customHeight="1" x14ac:dyDescent="0.15">
      <c r="A21" s="100"/>
      <c r="B21" s="100"/>
      <c r="C21" s="100"/>
      <c r="D21" s="94"/>
      <c r="E21" s="29"/>
      <c r="F21" s="94"/>
      <c r="G21" s="29"/>
      <c r="H21" s="29"/>
      <c r="I21" s="29"/>
      <c r="J21" s="29"/>
      <c r="K21" s="29"/>
      <c r="L21" s="29"/>
      <c r="M21" s="29"/>
      <c r="N21" s="29"/>
    </row>
    <row r="22" spans="1:23" ht="15" customHeight="1" x14ac:dyDescent="0.15">
      <c r="A22" s="100"/>
      <c r="B22" s="100"/>
      <c r="C22" s="100"/>
      <c r="D22" s="94"/>
      <c r="E22" s="29"/>
      <c r="F22" s="94"/>
      <c r="G22" s="29"/>
      <c r="H22" s="29"/>
      <c r="I22" s="29"/>
      <c r="J22" s="29"/>
      <c r="K22" s="29"/>
      <c r="L22" s="29"/>
      <c r="M22" s="29"/>
      <c r="N22" s="29"/>
    </row>
    <row r="23" spans="1:23" ht="15" customHeight="1" x14ac:dyDescent="0.15">
      <c r="A23" s="100"/>
      <c r="B23" s="100"/>
      <c r="C23" s="100"/>
      <c r="D23" s="94"/>
      <c r="E23" s="29"/>
      <c r="F23" s="94"/>
      <c r="G23" s="29"/>
      <c r="H23" s="29"/>
      <c r="I23" s="29"/>
      <c r="J23" s="29"/>
      <c r="K23" s="29"/>
      <c r="L23" s="29"/>
      <c r="M23" s="29"/>
      <c r="N23" s="29"/>
    </row>
    <row r="24" spans="1:23" ht="15" customHeight="1" x14ac:dyDescent="0.15">
      <c r="A24" s="100"/>
      <c r="B24" s="100"/>
      <c r="C24" s="100"/>
      <c r="D24" s="94"/>
      <c r="E24" s="29"/>
      <c r="F24" s="94"/>
      <c r="G24" s="29"/>
      <c r="H24" s="29"/>
      <c r="I24" s="29"/>
      <c r="J24" s="29"/>
      <c r="K24" s="29"/>
      <c r="L24" s="29"/>
      <c r="M24" s="29"/>
      <c r="N24" s="29"/>
    </row>
    <row r="25" spans="1:23" ht="15" customHeight="1" x14ac:dyDescent="0.15">
      <c r="A25" s="100"/>
      <c r="B25" s="100"/>
      <c r="C25" s="100"/>
      <c r="D25" s="94"/>
      <c r="E25" s="29"/>
      <c r="F25" s="94"/>
      <c r="G25" s="29"/>
      <c r="H25" s="29"/>
      <c r="I25" s="29"/>
      <c r="J25" s="29"/>
      <c r="K25" s="29"/>
      <c r="L25" s="29"/>
      <c r="M25" s="29"/>
      <c r="N25" s="29"/>
    </row>
    <row r="26" spans="1:23" ht="15" customHeight="1" x14ac:dyDescent="0.15">
      <c r="A26" s="100"/>
      <c r="B26" s="100"/>
      <c r="C26" s="100"/>
      <c r="D26" s="94"/>
      <c r="E26" s="29"/>
      <c r="F26" s="94"/>
      <c r="G26" s="29"/>
      <c r="H26" s="29"/>
      <c r="I26" s="29"/>
      <c r="J26" s="29"/>
      <c r="K26" s="29"/>
      <c r="L26" s="29"/>
      <c r="M26" s="29"/>
      <c r="N26" s="29"/>
    </row>
    <row r="27" spans="1:23" ht="15" customHeight="1" x14ac:dyDescent="0.15">
      <c r="A27" s="100"/>
      <c r="B27" s="100"/>
      <c r="C27" s="100"/>
      <c r="D27" s="94"/>
      <c r="E27" s="29"/>
      <c r="F27" s="94"/>
      <c r="G27" s="29"/>
      <c r="H27" s="29"/>
      <c r="I27" s="29"/>
      <c r="J27" s="29"/>
      <c r="K27" s="29"/>
      <c r="L27" s="29"/>
      <c r="M27" s="29"/>
      <c r="N27" s="29"/>
    </row>
    <row r="28" spans="1:23" ht="15" customHeight="1" x14ac:dyDescent="0.15">
      <c r="A28" s="100"/>
      <c r="B28" s="100"/>
      <c r="C28" s="100"/>
      <c r="D28" s="94"/>
      <c r="E28" s="29"/>
      <c r="F28" s="94"/>
      <c r="G28" s="29"/>
      <c r="H28" s="29"/>
      <c r="I28" s="29"/>
      <c r="J28" s="29"/>
      <c r="K28" s="29"/>
      <c r="L28" s="29"/>
      <c r="M28" s="29"/>
      <c r="N28" s="29"/>
    </row>
    <row r="29" spans="1:23" ht="15" customHeight="1" x14ac:dyDescent="0.15">
      <c r="A29" s="100"/>
      <c r="B29" s="100"/>
      <c r="C29" s="100"/>
      <c r="D29" s="94"/>
      <c r="E29" s="29"/>
      <c r="F29" s="94"/>
      <c r="G29" s="29"/>
      <c r="H29" s="29"/>
      <c r="I29" s="29"/>
      <c r="J29" s="29"/>
      <c r="K29" s="29"/>
      <c r="L29" s="29"/>
      <c r="M29" s="29"/>
      <c r="N29" s="29"/>
    </row>
    <row r="30" spans="1:23" ht="15" customHeight="1" x14ac:dyDescent="0.15">
      <c r="A30" s="100"/>
      <c r="B30" s="100"/>
      <c r="C30" s="100"/>
      <c r="D30" s="94"/>
      <c r="E30" s="29"/>
      <c r="F30" s="94"/>
      <c r="G30" s="29"/>
      <c r="H30" s="29"/>
      <c r="I30" s="29"/>
      <c r="J30" s="29"/>
      <c r="K30" s="29"/>
      <c r="L30" s="29"/>
      <c r="M30" s="29"/>
      <c r="N30" s="29"/>
    </row>
    <row r="31" spans="1:23" ht="15" customHeight="1" x14ac:dyDescent="0.15">
      <c r="A31" s="100"/>
      <c r="B31" s="100"/>
      <c r="C31" s="100"/>
      <c r="D31" s="94"/>
      <c r="E31" s="29"/>
      <c r="F31" s="94"/>
      <c r="G31" s="29"/>
      <c r="H31" s="29"/>
      <c r="I31" s="29"/>
      <c r="J31" s="29"/>
      <c r="K31" s="29"/>
      <c r="L31" s="29"/>
      <c r="M31" s="29"/>
      <c r="N31" s="29"/>
    </row>
    <row r="32" spans="1:23" ht="15" customHeight="1" x14ac:dyDescent="0.15">
      <c r="A32" s="100"/>
      <c r="B32" s="100"/>
      <c r="C32" s="100"/>
      <c r="D32" s="94"/>
      <c r="E32" s="29"/>
      <c r="F32" s="94"/>
      <c r="G32" s="29"/>
      <c r="H32" s="29"/>
      <c r="I32" s="29"/>
      <c r="J32" s="29"/>
      <c r="K32" s="29"/>
      <c r="L32" s="29"/>
      <c r="M32" s="29"/>
      <c r="N32" s="29"/>
    </row>
    <row r="33" spans="1:14" ht="15" customHeight="1" x14ac:dyDescent="0.15">
      <c r="A33" s="100"/>
      <c r="B33" s="100"/>
      <c r="C33" s="100"/>
      <c r="D33" s="94"/>
      <c r="E33" s="29"/>
      <c r="F33" s="94"/>
      <c r="G33" s="29"/>
      <c r="H33" s="29"/>
      <c r="I33" s="29"/>
      <c r="J33" s="29"/>
      <c r="K33" s="29"/>
      <c r="L33" s="29"/>
      <c r="M33" s="29"/>
      <c r="N33" s="29"/>
    </row>
    <row r="34" spans="1:14" ht="15" customHeight="1" x14ac:dyDescent="0.15">
      <c r="A34" s="100"/>
      <c r="B34" s="100"/>
      <c r="C34" s="100"/>
      <c r="D34" s="94"/>
      <c r="E34" s="29"/>
      <c r="F34" s="94"/>
      <c r="G34" s="29"/>
      <c r="H34" s="29"/>
      <c r="I34" s="29"/>
      <c r="J34" s="29"/>
      <c r="K34" s="29"/>
      <c r="L34" s="29"/>
      <c r="M34" s="29"/>
      <c r="N34" s="29"/>
    </row>
    <row r="35" spans="1:14" ht="15" customHeight="1" x14ac:dyDescent="0.15">
      <c r="A35" s="100"/>
      <c r="B35" s="100"/>
      <c r="C35" s="100"/>
      <c r="D35" s="94"/>
      <c r="E35" s="29"/>
      <c r="F35" s="94"/>
      <c r="G35" s="29"/>
      <c r="H35" s="29"/>
      <c r="I35" s="29"/>
      <c r="J35" s="29"/>
      <c r="K35" s="29"/>
      <c r="L35" s="29"/>
      <c r="M35" s="29"/>
      <c r="N35" s="29"/>
    </row>
    <row r="36" spans="1:14" ht="15" customHeight="1" x14ac:dyDescent="0.15">
      <c r="A36" s="100"/>
      <c r="B36" s="100"/>
      <c r="C36" s="100"/>
      <c r="D36" s="94"/>
      <c r="E36" s="29"/>
      <c r="F36" s="94"/>
      <c r="G36" s="29"/>
      <c r="H36" s="29"/>
      <c r="I36" s="29"/>
      <c r="J36" s="29"/>
      <c r="K36" s="29"/>
      <c r="L36" s="29"/>
      <c r="M36" s="29"/>
      <c r="N36" s="29"/>
    </row>
    <row r="37" spans="1:14" ht="15" customHeight="1" x14ac:dyDescent="0.15">
      <c r="A37" s="100"/>
      <c r="B37" s="100"/>
      <c r="C37" s="100"/>
      <c r="D37" s="94"/>
      <c r="E37" s="29"/>
      <c r="F37" s="94"/>
      <c r="G37" s="29"/>
      <c r="H37" s="29"/>
      <c r="I37" s="29"/>
      <c r="J37" s="29"/>
      <c r="K37" s="29"/>
      <c r="L37" s="29"/>
      <c r="M37" s="29"/>
      <c r="N37" s="29"/>
    </row>
    <row r="38" spans="1:14" ht="15" customHeight="1" x14ac:dyDescent="0.15">
      <c r="A38" s="100"/>
      <c r="B38" s="100"/>
      <c r="C38" s="100"/>
      <c r="D38" s="94"/>
      <c r="E38" s="29"/>
      <c r="F38" s="94"/>
      <c r="G38" s="29"/>
      <c r="H38" s="29"/>
      <c r="I38" s="29"/>
      <c r="J38" s="29"/>
      <c r="K38" s="29"/>
      <c r="L38" s="29"/>
      <c r="M38" s="29"/>
      <c r="N38" s="29"/>
    </row>
    <row r="39" spans="1:14" ht="15" customHeight="1" x14ac:dyDescent="0.15">
      <c r="A39" s="100"/>
      <c r="B39" s="100"/>
      <c r="C39" s="100"/>
      <c r="D39" s="94"/>
      <c r="E39" s="29"/>
      <c r="F39" s="94"/>
      <c r="G39" s="29"/>
      <c r="H39" s="29"/>
      <c r="I39" s="29"/>
      <c r="J39" s="29"/>
      <c r="K39" s="29"/>
      <c r="L39" s="29"/>
      <c r="M39" s="29"/>
      <c r="N39" s="29"/>
    </row>
    <row r="40" spans="1:14" ht="15" customHeight="1" x14ac:dyDescent="0.15">
      <c r="A40" s="100"/>
      <c r="B40" s="100"/>
      <c r="C40" s="100"/>
      <c r="D40" s="94"/>
      <c r="E40" s="29"/>
      <c r="F40" s="94"/>
      <c r="G40" s="29"/>
      <c r="H40" s="29"/>
      <c r="I40" s="29"/>
      <c r="J40" s="29"/>
      <c r="K40" s="29"/>
      <c r="L40" s="29"/>
      <c r="M40" s="29"/>
      <c r="N40" s="29"/>
    </row>
    <row r="41" spans="1:14" ht="15" customHeight="1" x14ac:dyDescent="0.15">
      <c r="A41" s="100"/>
      <c r="B41" s="100"/>
      <c r="C41" s="100"/>
      <c r="D41" s="94"/>
      <c r="E41" s="29"/>
      <c r="F41" s="94"/>
      <c r="G41" s="29"/>
      <c r="H41" s="29"/>
      <c r="I41" s="29"/>
      <c r="J41" s="29"/>
      <c r="K41" s="29"/>
      <c r="L41" s="29"/>
      <c r="M41" s="29"/>
      <c r="N41" s="29"/>
    </row>
    <row r="42" spans="1:14" ht="15" customHeight="1" x14ac:dyDescent="0.15">
      <c r="A42" s="100"/>
      <c r="B42" s="100"/>
      <c r="C42" s="100"/>
      <c r="D42" s="94"/>
      <c r="E42" s="29"/>
      <c r="F42" s="94"/>
      <c r="G42" s="29"/>
      <c r="H42" s="29"/>
      <c r="I42" s="29"/>
      <c r="J42" s="29"/>
      <c r="K42" s="29"/>
      <c r="L42" s="29"/>
      <c r="M42" s="29"/>
      <c r="N42" s="29"/>
    </row>
    <row r="43" spans="1:14" ht="15" customHeight="1" x14ac:dyDescent="0.15">
      <c r="A43" s="100"/>
      <c r="B43" s="100"/>
      <c r="C43" s="100"/>
      <c r="D43" s="94"/>
      <c r="E43" s="29"/>
      <c r="F43" s="94"/>
      <c r="G43" s="29"/>
      <c r="H43" s="29"/>
      <c r="I43" s="29"/>
      <c r="J43" s="29"/>
      <c r="K43" s="29"/>
      <c r="L43" s="29"/>
      <c r="M43" s="29"/>
      <c r="N43" s="29"/>
    </row>
    <row r="44" spans="1:14" ht="15" customHeight="1" x14ac:dyDescent="0.15">
      <c r="A44" s="100"/>
      <c r="B44" s="100"/>
      <c r="C44" s="100"/>
      <c r="D44" s="94"/>
      <c r="E44" s="29"/>
      <c r="F44" s="94"/>
      <c r="G44" s="29"/>
      <c r="H44" s="29"/>
      <c r="I44" s="29"/>
      <c r="J44" s="29"/>
      <c r="K44" s="29"/>
      <c r="L44" s="29"/>
      <c r="M44" s="29"/>
      <c r="N44" s="29"/>
    </row>
    <row r="45" spans="1:14" ht="15" customHeight="1" x14ac:dyDescent="0.15">
      <c r="A45" s="100"/>
      <c r="B45" s="100"/>
      <c r="C45" s="100"/>
      <c r="D45" s="94"/>
      <c r="E45" s="29"/>
      <c r="F45" s="94"/>
      <c r="G45" s="29"/>
      <c r="H45" s="29"/>
      <c r="I45" s="29"/>
      <c r="J45" s="29"/>
      <c r="K45" s="29"/>
      <c r="L45" s="29"/>
      <c r="M45" s="29"/>
      <c r="N45" s="29"/>
    </row>
    <row r="46" spans="1:14" ht="15" customHeight="1" x14ac:dyDescent="0.15">
      <c r="A46" s="100"/>
      <c r="B46" s="100"/>
      <c r="C46" s="100"/>
      <c r="D46" s="94"/>
      <c r="E46" s="29"/>
      <c r="F46" s="94"/>
      <c r="G46" s="29"/>
      <c r="H46" s="29"/>
      <c r="I46" s="29"/>
      <c r="J46" s="29"/>
      <c r="K46" s="29"/>
      <c r="L46" s="29"/>
      <c r="M46" s="29"/>
      <c r="N46" s="29"/>
    </row>
    <row r="47" spans="1:14" ht="15" customHeight="1" x14ac:dyDescent="0.15">
      <c r="A47" s="100"/>
      <c r="B47" s="100"/>
      <c r="C47" s="100"/>
      <c r="D47" s="94"/>
      <c r="E47" s="29"/>
      <c r="F47" s="94"/>
      <c r="G47" s="29"/>
      <c r="H47" s="29"/>
      <c r="I47" s="29"/>
      <c r="J47" s="29"/>
      <c r="K47" s="29"/>
      <c r="L47" s="29"/>
      <c r="M47" s="29"/>
      <c r="N47" s="29"/>
    </row>
    <row r="48" spans="1:14" ht="15" customHeight="1" x14ac:dyDescent="0.15">
      <c r="A48" s="100"/>
      <c r="B48" s="100"/>
      <c r="C48" s="100"/>
      <c r="D48" s="94"/>
      <c r="E48" s="29"/>
      <c r="F48" s="94"/>
      <c r="G48" s="29"/>
      <c r="H48" s="29"/>
      <c r="I48" s="29"/>
      <c r="J48" s="29"/>
      <c r="K48" s="29"/>
      <c r="L48" s="29"/>
      <c r="M48" s="29"/>
      <c r="N48" s="29"/>
    </row>
    <row r="49" spans="1:14" ht="15" customHeight="1" x14ac:dyDescent="0.15">
      <c r="A49" s="100"/>
      <c r="B49" s="100"/>
      <c r="C49" s="100"/>
      <c r="D49" s="94"/>
      <c r="E49" s="29"/>
      <c r="F49" s="94"/>
      <c r="G49" s="29"/>
      <c r="H49" s="29"/>
      <c r="I49" s="29"/>
      <c r="J49" s="29"/>
      <c r="K49" s="29"/>
      <c r="L49" s="29"/>
      <c r="M49" s="29"/>
      <c r="N49" s="29"/>
    </row>
    <row r="50" spans="1:14" ht="15" customHeight="1" x14ac:dyDescent="0.15">
      <c r="A50" s="100"/>
      <c r="B50" s="100"/>
      <c r="C50" s="100"/>
      <c r="D50" s="94"/>
      <c r="E50" s="29"/>
      <c r="F50" s="94"/>
      <c r="G50" s="29"/>
      <c r="H50" s="29"/>
      <c r="I50" s="29"/>
      <c r="J50" s="29"/>
      <c r="K50" s="29"/>
      <c r="L50" s="29"/>
      <c r="M50" s="29"/>
      <c r="N50" s="29"/>
    </row>
    <row r="51" spans="1:14" ht="15" customHeight="1" x14ac:dyDescent="0.15">
      <c r="A51" s="100"/>
      <c r="B51" s="100"/>
      <c r="C51" s="100"/>
      <c r="D51" s="94"/>
      <c r="E51" s="29"/>
      <c r="F51" s="94"/>
      <c r="G51" s="29"/>
      <c r="H51" s="29"/>
      <c r="I51" s="29"/>
      <c r="J51" s="29"/>
      <c r="K51" s="29"/>
      <c r="L51" s="29"/>
      <c r="M51" s="29"/>
      <c r="N51" s="29"/>
    </row>
    <row r="52" spans="1:14" ht="15" customHeight="1" x14ac:dyDescent="0.15">
      <c r="A52" s="100"/>
      <c r="B52" s="100"/>
      <c r="C52" s="100"/>
      <c r="D52" s="94"/>
      <c r="E52" s="29"/>
      <c r="F52" s="94"/>
      <c r="G52" s="29"/>
      <c r="H52" s="29"/>
      <c r="I52" s="29"/>
      <c r="J52" s="29"/>
      <c r="K52" s="29"/>
      <c r="L52" s="29"/>
      <c r="M52" s="29"/>
      <c r="N52" s="29"/>
    </row>
    <row r="53" spans="1:14" ht="15" customHeight="1" x14ac:dyDescent="0.15">
      <c r="A53" s="100"/>
      <c r="B53" s="100"/>
      <c r="C53" s="100"/>
      <c r="D53" s="94"/>
      <c r="E53" s="29"/>
      <c r="F53" s="94"/>
      <c r="G53" s="29"/>
      <c r="H53" s="29"/>
      <c r="I53" s="29"/>
      <c r="J53" s="29"/>
      <c r="K53" s="29"/>
      <c r="L53" s="29"/>
      <c r="M53" s="29"/>
      <c r="N53" s="29"/>
    </row>
    <row r="54" spans="1:14" ht="15" customHeight="1" x14ac:dyDescent="0.15">
      <c r="A54" s="100"/>
      <c r="B54" s="100"/>
      <c r="C54" s="100"/>
      <c r="D54" s="94"/>
      <c r="E54" s="29"/>
      <c r="F54" s="94"/>
      <c r="G54" s="29"/>
      <c r="H54" s="29"/>
      <c r="I54" s="29"/>
      <c r="J54" s="29"/>
      <c r="K54" s="29"/>
      <c r="L54" s="29"/>
      <c r="M54" s="29"/>
      <c r="N54" s="29"/>
    </row>
    <row r="55" spans="1:14" ht="15" customHeight="1" x14ac:dyDescent="0.15">
      <c r="A55" s="100"/>
      <c r="B55" s="100"/>
      <c r="C55" s="100"/>
      <c r="D55" s="94"/>
      <c r="E55" s="29"/>
      <c r="F55" s="94"/>
      <c r="G55" s="29"/>
      <c r="H55" s="29"/>
      <c r="I55" s="29"/>
      <c r="J55" s="29"/>
      <c r="K55" s="29"/>
      <c r="L55" s="29"/>
      <c r="M55" s="29"/>
      <c r="N55" s="29"/>
    </row>
    <row r="56" spans="1:14" ht="15" customHeight="1" x14ac:dyDescent="0.15">
      <c r="A56" s="100"/>
      <c r="B56" s="100"/>
      <c r="C56" s="100"/>
      <c r="D56" s="94"/>
      <c r="E56" s="29"/>
      <c r="F56" s="94"/>
      <c r="G56" s="29"/>
      <c r="H56" s="29"/>
      <c r="I56" s="29"/>
      <c r="J56" s="29"/>
      <c r="K56" s="29"/>
      <c r="L56" s="29"/>
      <c r="M56" s="29"/>
      <c r="N56" s="29"/>
    </row>
    <row r="57" spans="1:14" ht="15" customHeight="1" x14ac:dyDescent="0.15">
      <c r="A57" s="100"/>
      <c r="B57" s="100"/>
      <c r="C57" s="100"/>
      <c r="D57" s="94"/>
      <c r="E57" s="29"/>
      <c r="F57" s="94"/>
      <c r="G57" s="29"/>
      <c r="H57" s="29"/>
      <c r="I57" s="29"/>
      <c r="J57" s="29"/>
      <c r="K57" s="29"/>
      <c r="L57" s="29"/>
      <c r="M57" s="29"/>
      <c r="N57" s="29"/>
    </row>
    <row r="58" spans="1:14" ht="15" customHeight="1" x14ac:dyDescent="0.15">
      <c r="A58" s="100"/>
      <c r="B58" s="100"/>
      <c r="C58" s="100"/>
      <c r="D58" s="94"/>
      <c r="E58" s="29"/>
      <c r="F58" s="94"/>
      <c r="G58" s="29"/>
      <c r="H58" s="29"/>
      <c r="I58" s="29"/>
      <c r="J58" s="29"/>
      <c r="K58" s="29"/>
      <c r="L58" s="29"/>
      <c r="M58" s="29"/>
      <c r="N58" s="29"/>
    </row>
    <row r="59" spans="1:14" ht="15" customHeight="1" x14ac:dyDescent="0.15">
      <c r="A59" s="100"/>
      <c r="B59" s="100"/>
      <c r="C59" s="100"/>
      <c r="D59" s="94"/>
      <c r="E59" s="29"/>
      <c r="F59" s="94"/>
      <c r="G59" s="29"/>
      <c r="H59" s="29"/>
      <c r="I59" s="29"/>
      <c r="J59" s="29"/>
      <c r="K59" s="29"/>
      <c r="L59" s="29"/>
      <c r="M59" s="29"/>
      <c r="N59" s="29"/>
    </row>
    <row r="60" spans="1:14" ht="15" customHeight="1" x14ac:dyDescent="0.15">
      <c r="A60" s="100"/>
      <c r="B60" s="100"/>
      <c r="C60" s="100"/>
      <c r="D60" s="94"/>
      <c r="E60" s="29"/>
      <c r="F60" s="94"/>
      <c r="G60" s="29"/>
      <c r="H60" s="29"/>
      <c r="I60" s="29"/>
      <c r="J60" s="29"/>
      <c r="K60" s="29"/>
      <c r="L60" s="29"/>
      <c r="M60" s="29"/>
      <c r="N60" s="29"/>
    </row>
    <row r="61" spans="1:14" ht="15" customHeight="1" x14ac:dyDescent="0.15">
      <c r="A61" s="100"/>
      <c r="B61" s="100"/>
      <c r="C61" s="100"/>
      <c r="D61" s="94"/>
      <c r="E61" s="29"/>
      <c r="F61" s="94"/>
      <c r="G61" s="29"/>
      <c r="H61" s="29"/>
      <c r="I61" s="29"/>
      <c r="J61" s="29"/>
      <c r="K61" s="29"/>
      <c r="L61" s="29"/>
      <c r="M61" s="29"/>
      <c r="N61" s="29"/>
    </row>
    <row r="62" spans="1:14" ht="15" customHeight="1" x14ac:dyDescent="0.15">
      <c r="A62" s="100"/>
      <c r="B62" s="100"/>
      <c r="C62" s="100"/>
      <c r="D62" s="94"/>
      <c r="E62" s="29"/>
      <c r="F62" s="94"/>
      <c r="G62" s="29"/>
      <c r="H62" s="29"/>
      <c r="I62" s="29"/>
      <c r="J62" s="29"/>
      <c r="K62" s="29"/>
      <c r="L62" s="29"/>
      <c r="M62" s="29"/>
      <c r="N62" s="29"/>
    </row>
    <row r="63" spans="1:14" ht="15" customHeight="1" x14ac:dyDescent="0.15">
      <c r="A63" s="100"/>
      <c r="B63" s="100"/>
      <c r="C63" s="100"/>
      <c r="D63" s="94"/>
      <c r="E63" s="29"/>
      <c r="F63" s="94"/>
      <c r="G63" s="29"/>
      <c r="H63" s="29"/>
      <c r="I63" s="29"/>
      <c r="J63" s="29"/>
      <c r="K63" s="29"/>
      <c r="L63" s="29"/>
      <c r="M63" s="29"/>
      <c r="N63" s="29"/>
    </row>
    <row r="64" spans="1:14" ht="15" customHeight="1" x14ac:dyDescent="0.15">
      <c r="A64" s="100"/>
      <c r="B64" s="100"/>
      <c r="C64" s="100"/>
      <c r="D64" s="94"/>
      <c r="E64" s="29"/>
      <c r="F64" s="94"/>
      <c r="G64" s="29"/>
      <c r="H64" s="29"/>
      <c r="I64" s="29"/>
      <c r="J64" s="29"/>
      <c r="K64" s="29"/>
      <c r="L64" s="29"/>
      <c r="M64" s="29"/>
      <c r="N64" s="29"/>
    </row>
    <row r="65" spans="1:14" ht="15" customHeight="1" x14ac:dyDescent="0.15">
      <c r="A65" s="100"/>
      <c r="B65" s="100"/>
      <c r="C65" s="100"/>
      <c r="D65" s="94"/>
      <c r="E65" s="29"/>
      <c r="F65" s="94"/>
      <c r="G65" s="29"/>
      <c r="H65" s="29"/>
      <c r="I65" s="29"/>
      <c r="J65" s="29"/>
      <c r="K65" s="29"/>
      <c r="L65" s="29"/>
      <c r="M65" s="29"/>
      <c r="N65" s="29"/>
    </row>
    <row r="66" spans="1:14" ht="15" customHeight="1" x14ac:dyDescent="0.15">
      <c r="A66" s="100"/>
      <c r="B66" s="100"/>
      <c r="C66" s="100"/>
      <c r="D66" s="94"/>
      <c r="E66" s="29"/>
      <c r="F66" s="94"/>
      <c r="G66" s="29"/>
      <c r="H66" s="29"/>
      <c r="I66" s="29"/>
      <c r="J66" s="29"/>
      <c r="K66" s="29"/>
      <c r="L66" s="29"/>
      <c r="M66" s="29"/>
      <c r="N66" s="29"/>
    </row>
    <row r="67" spans="1:14" ht="15" customHeight="1" x14ac:dyDescent="0.15">
      <c r="A67" s="100"/>
      <c r="B67" s="100"/>
      <c r="C67" s="100"/>
      <c r="D67" s="94"/>
      <c r="E67" s="29"/>
      <c r="F67" s="94"/>
      <c r="G67" s="29"/>
      <c r="H67" s="29"/>
      <c r="I67" s="29"/>
      <c r="J67" s="29"/>
      <c r="K67" s="29"/>
      <c r="L67" s="29"/>
      <c r="M67" s="29"/>
      <c r="N67" s="29"/>
    </row>
    <row r="68" spans="1:14" ht="15" customHeight="1" x14ac:dyDescent="0.15">
      <c r="A68" s="100"/>
      <c r="B68" s="100"/>
      <c r="C68" s="100"/>
      <c r="D68" s="94"/>
      <c r="E68" s="29"/>
      <c r="F68" s="94"/>
      <c r="G68" s="29"/>
      <c r="H68" s="29"/>
      <c r="I68" s="29"/>
      <c r="J68" s="29"/>
      <c r="K68" s="29"/>
      <c r="L68" s="29"/>
      <c r="M68" s="29"/>
      <c r="N68" s="29"/>
    </row>
    <row r="69" spans="1:14" ht="15" customHeight="1" x14ac:dyDescent="0.15">
      <c r="A69" s="100"/>
      <c r="B69" s="100"/>
      <c r="C69" s="100"/>
      <c r="D69" s="94"/>
      <c r="E69" s="29"/>
      <c r="F69" s="94"/>
      <c r="G69" s="29"/>
      <c r="H69" s="29"/>
      <c r="I69" s="29"/>
      <c r="J69" s="29"/>
      <c r="K69" s="29"/>
      <c r="L69" s="29"/>
      <c r="M69" s="29"/>
      <c r="N69" s="29"/>
    </row>
    <row r="70" spans="1:14" ht="15" customHeight="1" x14ac:dyDescent="0.15">
      <c r="A70" s="100"/>
      <c r="B70" s="100"/>
      <c r="C70" s="100"/>
      <c r="D70" s="94"/>
      <c r="E70" s="29"/>
      <c r="F70" s="94"/>
      <c r="G70" s="29"/>
      <c r="H70" s="29"/>
      <c r="I70" s="29"/>
      <c r="J70" s="29"/>
      <c r="K70" s="29"/>
      <c r="L70" s="29"/>
      <c r="M70" s="29"/>
      <c r="N70" s="29"/>
    </row>
    <row r="71" spans="1:14" ht="15" customHeight="1" x14ac:dyDescent="0.15">
      <c r="A71" s="100"/>
      <c r="B71" s="100"/>
      <c r="C71" s="100"/>
      <c r="D71" s="94"/>
      <c r="E71" s="29"/>
      <c r="F71" s="94"/>
      <c r="G71" s="29"/>
      <c r="H71" s="29"/>
      <c r="I71" s="29"/>
      <c r="J71" s="29"/>
      <c r="K71" s="29"/>
      <c r="L71" s="29"/>
      <c r="M71" s="29"/>
      <c r="N71" s="29"/>
    </row>
    <row r="72" spans="1:14" ht="15" customHeight="1" x14ac:dyDescent="0.15">
      <c r="A72" s="100"/>
      <c r="B72" s="100"/>
      <c r="C72" s="100"/>
      <c r="D72" s="94"/>
      <c r="E72" s="29"/>
      <c r="F72" s="94"/>
      <c r="G72" s="29"/>
      <c r="H72" s="29"/>
      <c r="I72" s="29"/>
      <c r="J72" s="29"/>
      <c r="K72" s="29"/>
      <c r="L72" s="29"/>
      <c r="M72" s="29"/>
      <c r="N72" s="29"/>
    </row>
    <row r="73" spans="1:14" ht="15" customHeight="1" x14ac:dyDescent="0.15">
      <c r="A73" s="100"/>
      <c r="B73" s="100"/>
      <c r="C73" s="100"/>
      <c r="D73" s="94"/>
      <c r="E73" s="29"/>
      <c r="F73" s="94"/>
      <c r="G73" s="29"/>
      <c r="H73" s="29"/>
      <c r="I73" s="29"/>
      <c r="J73" s="29"/>
      <c r="K73" s="29"/>
      <c r="L73" s="29"/>
      <c r="M73" s="29"/>
      <c r="N73" s="29"/>
    </row>
    <row r="74" spans="1:14" ht="15" customHeight="1" x14ac:dyDescent="0.15">
      <c r="A74" s="100"/>
      <c r="B74" s="100"/>
      <c r="C74" s="100"/>
      <c r="D74" s="94"/>
      <c r="E74" s="29"/>
      <c r="F74" s="94"/>
      <c r="G74" s="29"/>
      <c r="H74" s="29"/>
      <c r="I74" s="29"/>
      <c r="J74" s="29"/>
      <c r="K74" s="29"/>
      <c r="L74" s="29"/>
      <c r="M74" s="29"/>
      <c r="N74" s="29"/>
    </row>
    <row r="75" spans="1:14" ht="15" customHeight="1" x14ac:dyDescent="0.15">
      <c r="A75" s="100"/>
      <c r="B75" s="100"/>
      <c r="C75" s="100"/>
      <c r="D75" s="94"/>
      <c r="E75" s="29"/>
      <c r="F75" s="94"/>
      <c r="G75" s="29"/>
      <c r="H75" s="29"/>
      <c r="I75" s="29"/>
      <c r="J75" s="29"/>
      <c r="K75" s="29"/>
      <c r="L75" s="29"/>
      <c r="M75" s="29"/>
      <c r="N75" s="29"/>
    </row>
    <row r="76" spans="1:14" ht="15" customHeight="1" x14ac:dyDescent="0.15">
      <c r="A76" s="100"/>
      <c r="B76" s="100"/>
      <c r="C76" s="100"/>
      <c r="D76" s="94"/>
      <c r="E76" s="29"/>
      <c r="F76" s="94"/>
      <c r="G76" s="29"/>
      <c r="H76" s="29"/>
      <c r="I76" s="29"/>
      <c r="J76" s="29"/>
      <c r="K76" s="29"/>
      <c r="L76" s="29"/>
      <c r="M76" s="29"/>
      <c r="N76" s="29"/>
    </row>
    <row r="77" spans="1:14" ht="15" customHeight="1" x14ac:dyDescent="0.15">
      <c r="A77" s="100"/>
      <c r="B77" s="100"/>
      <c r="C77" s="100"/>
      <c r="D77" s="94"/>
      <c r="E77" s="29"/>
      <c r="F77" s="94"/>
      <c r="G77" s="29"/>
      <c r="H77" s="29"/>
      <c r="I77" s="29"/>
      <c r="J77" s="29"/>
      <c r="K77" s="29"/>
      <c r="L77" s="29"/>
      <c r="M77" s="29"/>
      <c r="N77" s="29"/>
    </row>
    <row r="78" spans="1:14" ht="15" customHeight="1" x14ac:dyDescent="0.15">
      <c r="A78" s="100"/>
      <c r="B78" s="100"/>
      <c r="C78" s="100"/>
      <c r="D78" s="94"/>
      <c r="E78" s="29"/>
      <c r="F78" s="94"/>
      <c r="G78" s="29"/>
      <c r="H78" s="29"/>
      <c r="I78" s="29"/>
      <c r="J78" s="29"/>
      <c r="K78" s="29"/>
      <c r="L78" s="29"/>
      <c r="M78" s="29"/>
      <c r="N78" s="29"/>
    </row>
    <row r="79" spans="1:14" ht="15" customHeight="1" x14ac:dyDescent="0.15">
      <c r="A79" s="100"/>
      <c r="B79" s="100"/>
      <c r="C79" s="100"/>
      <c r="D79" s="94"/>
      <c r="E79" s="29"/>
      <c r="F79" s="94"/>
      <c r="G79" s="29"/>
      <c r="H79" s="29"/>
      <c r="I79" s="29"/>
      <c r="J79" s="29"/>
      <c r="K79" s="29"/>
      <c r="L79" s="29"/>
      <c r="M79" s="29"/>
      <c r="N79" s="29"/>
    </row>
    <row r="80" spans="1:14" ht="15" customHeight="1" x14ac:dyDescent="0.15">
      <c r="A80" s="100"/>
      <c r="B80" s="100"/>
      <c r="C80" s="100"/>
      <c r="D80" s="94"/>
      <c r="E80" s="29"/>
      <c r="F80" s="94"/>
      <c r="G80" s="29"/>
      <c r="H80" s="29"/>
      <c r="I80" s="29"/>
      <c r="J80" s="29"/>
      <c r="K80" s="29"/>
      <c r="L80" s="29"/>
      <c r="M80" s="29"/>
      <c r="N80" s="29"/>
    </row>
    <row r="81" spans="1:14" ht="15" customHeight="1" x14ac:dyDescent="0.15">
      <c r="A81" s="100"/>
      <c r="B81" s="100"/>
      <c r="C81" s="100"/>
      <c r="D81" s="94"/>
      <c r="E81" s="29"/>
      <c r="F81" s="94"/>
      <c r="G81" s="29"/>
      <c r="H81" s="29"/>
      <c r="I81" s="29"/>
      <c r="J81" s="29"/>
      <c r="K81" s="29"/>
      <c r="L81" s="29"/>
      <c r="M81" s="29"/>
      <c r="N81" s="29"/>
    </row>
    <row r="82" spans="1:14" ht="15" customHeight="1" x14ac:dyDescent="0.15">
      <c r="A82" s="100"/>
      <c r="B82" s="100"/>
      <c r="C82" s="100"/>
      <c r="D82" s="94"/>
      <c r="E82" s="29"/>
      <c r="F82" s="94"/>
      <c r="G82" s="29"/>
      <c r="H82" s="29"/>
      <c r="I82" s="29"/>
      <c r="J82" s="29"/>
      <c r="K82" s="29"/>
      <c r="L82" s="29"/>
      <c r="M82" s="29"/>
      <c r="N82" s="29"/>
    </row>
    <row r="83" spans="1:14" ht="15" customHeight="1" x14ac:dyDescent="0.15">
      <c r="A83" s="100"/>
      <c r="B83" s="100"/>
      <c r="C83" s="100"/>
      <c r="D83" s="94"/>
      <c r="E83" s="29"/>
      <c r="F83" s="94"/>
      <c r="G83" s="29"/>
      <c r="H83" s="29"/>
      <c r="I83" s="29"/>
      <c r="J83" s="29"/>
      <c r="K83" s="29"/>
      <c r="L83" s="29"/>
      <c r="M83" s="29"/>
      <c r="N83" s="29"/>
    </row>
    <row r="84" spans="1:14" ht="15" customHeight="1" x14ac:dyDescent="0.15">
      <c r="A84" s="100"/>
      <c r="B84" s="100"/>
      <c r="C84" s="100"/>
      <c r="D84" s="94"/>
      <c r="E84" s="29"/>
      <c r="F84" s="94"/>
      <c r="G84" s="29"/>
      <c r="H84" s="29"/>
      <c r="I84" s="29"/>
      <c r="J84" s="29"/>
      <c r="K84" s="29"/>
      <c r="L84" s="29"/>
      <c r="M84" s="29"/>
      <c r="N84" s="29"/>
    </row>
    <row r="85" spans="1:14" ht="15" customHeight="1" x14ac:dyDescent="0.15">
      <c r="A85" s="100"/>
      <c r="B85" s="100"/>
      <c r="C85" s="100"/>
      <c r="D85" s="94"/>
      <c r="E85" s="29"/>
      <c r="F85" s="94"/>
      <c r="G85" s="29"/>
      <c r="H85" s="29"/>
      <c r="I85" s="29"/>
      <c r="J85" s="29"/>
      <c r="K85" s="29"/>
      <c r="L85" s="29"/>
      <c r="M85" s="29"/>
      <c r="N85" s="29"/>
    </row>
    <row r="86" spans="1:14" ht="15" customHeight="1" x14ac:dyDescent="0.15">
      <c r="A86" s="100"/>
      <c r="B86" s="100"/>
      <c r="C86" s="100"/>
      <c r="D86" s="94"/>
      <c r="E86" s="29"/>
      <c r="F86" s="94"/>
      <c r="G86" s="29"/>
      <c r="H86" s="29"/>
      <c r="I86" s="29"/>
      <c r="J86" s="29"/>
      <c r="K86" s="29"/>
      <c r="L86" s="29"/>
      <c r="M86" s="29"/>
      <c r="N86" s="29"/>
    </row>
    <row r="87" spans="1:14" ht="15" customHeight="1" x14ac:dyDescent="0.15">
      <c r="A87" s="100"/>
      <c r="B87" s="100"/>
      <c r="C87" s="100"/>
      <c r="D87" s="94"/>
      <c r="E87" s="29"/>
      <c r="F87" s="94"/>
      <c r="G87" s="29"/>
      <c r="H87" s="29"/>
      <c r="I87" s="29"/>
      <c r="J87" s="29"/>
      <c r="K87" s="29"/>
      <c r="L87" s="29"/>
      <c r="M87" s="29"/>
      <c r="N87" s="29"/>
    </row>
    <row r="88" spans="1:14" ht="15" customHeight="1" x14ac:dyDescent="0.15">
      <c r="A88" s="100"/>
      <c r="B88" s="100"/>
      <c r="C88" s="100"/>
      <c r="D88" s="94"/>
      <c r="E88" s="29"/>
      <c r="F88" s="94"/>
      <c r="G88" s="29"/>
      <c r="H88" s="29"/>
      <c r="I88" s="29"/>
      <c r="J88" s="29"/>
      <c r="K88" s="29"/>
      <c r="L88" s="29"/>
      <c r="M88" s="29"/>
      <c r="N88" s="29"/>
    </row>
    <row r="89" spans="1:14" ht="15" customHeight="1" x14ac:dyDescent="0.15">
      <c r="A89" s="100"/>
      <c r="B89" s="100"/>
      <c r="C89" s="100"/>
      <c r="D89" s="94"/>
      <c r="E89" s="29"/>
      <c r="F89" s="94"/>
      <c r="G89" s="29"/>
      <c r="H89" s="29"/>
      <c r="I89" s="29"/>
      <c r="J89" s="29"/>
      <c r="K89" s="29"/>
      <c r="L89" s="29"/>
      <c r="M89" s="29"/>
      <c r="N89" s="29"/>
    </row>
    <row r="90" spans="1:14" ht="15" customHeight="1" x14ac:dyDescent="0.15">
      <c r="A90" s="100"/>
      <c r="B90" s="100"/>
      <c r="C90" s="100"/>
      <c r="D90" s="94"/>
      <c r="E90" s="29"/>
      <c r="F90" s="94"/>
      <c r="G90" s="29"/>
      <c r="H90" s="29"/>
      <c r="I90" s="29"/>
      <c r="J90" s="29"/>
      <c r="K90" s="29"/>
      <c r="L90" s="29"/>
      <c r="M90" s="29"/>
      <c r="N90" s="29"/>
    </row>
    <row r="91" spans="1:14" ht="15" customHeight="1" x14ac:dyDescent="0.15">
      <c r="A91" s="100"/>
      <c r="B91" s="100"/>
      <c r="C91" s="100"/>
      <c r="D91" s="94"/>
      <c r="E91" s="29"/>
      <c r="F91" s="94"/>
      <c r="G91" s="29"/>
      <c r="H91" s="29"/>
      <c r="I91" s="29"/>
      <c r="J91" s="29"/>
      <c r="K91" s="29"/>
      <c r="L91" s="29"/>
      <c r="M91" s="29"/>
      <c r="N91" s="29"/>
    </row>
    <row r="92" spans="1:14" ht="15" customHeight="1" x14ac:dyDescent="0.15">
      <c r="A92" s="100"/>
      <c r="B92" s="100"/>
      <c r="C92" s="100"/>
      <c r="D92" s="94"/>
      <c r="E92" s="29"/>
      <c r="F92" s="94"/>
      <c r="G92" s="29"/>
      <c r="H92" s="29"/>
      <c r="I92" s="29"/>
      <c r="J92" s="29"/>
      <c r="K92" s="29"/>
      <c r="L92" s="29"/>
      <c r="M92" s="29"/>
      <c r="N92" s="29"/>
    </row>
    <row r="93" spans="1:14" ht="15" customHeight="1" x14ac:dyDescent="0.15">
      <c r="A93" s="100"/>
      <c r="B93" s="100"/>
      <c r="C93" s="100"/>
      <c r="D93" s="94"/>
      <c r="E93" s="29"/>
      <c r="F93" s="94"/>
      <c r="G93" s="29"/>
      <c r="H93" s="29"/>
      <c r="I93" s="29"/>
      <c r="J93" s="29"/>
      <c r="K93" s="29"/>
      <c r="L93" s="29"/>
      <c r="M93" s="29"/>
      <c r="N93" s="29"/>
    </row>
    <row r="94" spans="1:14" ht="15" customHeight="1" x14ac:dyDescent="0.15">
      <c r="A94" s="100"/>
      <c r="B94" s="100"/>
      <c r="C94" s="100"/>
      <c r="D94" s="94"/>
      <c r="E94" s="29"/>
      <c r="F94" s="94"/>
      <c r="G94" s="29"/>
      <c r="H94" s="29"/>
      <c r="I94" s="29"/>
      <c r="J94" s="29"/>
      <c r="K94" s="29"/>
      <c r="L94" s="29"/>
      <c r="M94" s="29"/>
      <c r="N94" s="29"/>
    </row>
    <row r="95" spans="1:14" ht="15" customHeight="1" x14ac:dyDescent="0.15">
      <c r="A95" s="100"/>
      <c r="B95" s="100"/>
      <c r="C95" s="100"/>
      <c r="D95" s="94"/>
      <c r="E95" s="29"/>
      <c r="F95" s="94"/>
      <c r="G95" s="29"/>
      <c r="H95" s="29"/>
      <c r="I95" s="29"/>
      <c r="J95" s="29"/>
      <c r="K95" s="29"/>
      <c r="L95" s="29"/>
      <c r="M95" s="29"/>
      <c r="N95" s="29"/>
    </row>
    <row r="96" spans="1:14" ht="15" customHeight="1" x14ac:dyDescent="0.15">
      <c r="A96" s="100"/>
      <c r="B96" s="100"/>
      <c r="C96" s="100"/>
      <c r="D96" s="94"/>
      <c r="E96" s="29"/>
      <c r="F96" s="94"/>
      <c r="G96" s="29"/>
      <c r="H96" s="29"/>
      <c r="I96" s="29"/>
      <c r="J96" s="29"/>
      <c r="K96" s="29"/>
      <c r="L96" s="29"/>
      <c r="M96" s="29"/>
      <c r="N96" s="29"/>
    </row>
    <row r="97" spans="1:14" ht="15" customHeight="1" x14ac:dyDescent="0.15">
      <c r="A97" s="100"/>
      <c r="B97" s="100"/>
      <c r="C97" s="100"/>
      <c r="D97" s="94"/>
      <c r="E97" s="29"/>
      <c r="F97" s="94"/>
      <c r="G97" s="29"/>
      <c r="H97" s="29"/>
      <c r="I97" s="29"/>
      <c r="J97" s="29"/>
      <c r="K97" s="29"/>
      <c r="L97" s="29"/>
      <c r="M97" s="29"/>
      <c r="N97" s="29"/>
    </row>
    <row r="98" spans="1:14" ht="15" customHeight="1" x14ac:dyDescent="0.15">
      <c r="A98" s="100"/>
      <c r="B98" s="100"/>
      <c r="C98" s="100"/>
      <c r="D98" s="94"/>
      <c r="E98" s="29"/>
      <c r="F98" s="94"/>
      <c r="G98" s="29"/>
      <c r="H98" s="29"/>
      <c r="I98" s="29"/>
      <c r="J98" s="29"/>
      <c r="K98" s="29"/>
      <c r="L98" s="29"/>
      <c r="M98" s="29"/>
      <c r="N98" s="29"/>
    </row>
    <row r="99" spans="1:14" ht="15" customHeight="1" x14ac:dyDescent="0.15">
      <c r="A99" s="100"/>
      <c r="B99" s="100"/>
      <c r="C99" s="100"/>
      <c r="D99" s="94"/>
      <c r="E99" s="29"/>
      <c r="F99" s="94"/>
      <c r="G99" s="29"/>
      <c r="H99" s="29"/>
      <c r="I99" s="29"/>
      <c r="J99" s="29"/>
      <c r="K99" s="29"/>
      <c r="L99" s="29"/>
      <c r="M99" s="29"/>
      <c r="N99" s="29"/>
    </row>
    <row r="100" spans="1:14" ht="15" customHeight="1" x14ac:dyDescent="0.15">
      <c r="A100" s="100"/>
      <c r="B100" s="100"/>
      <c r="C100" s="100"/>
      <c r="D100" s="94"/>
      <c r="E100" s="29"/>
      <c r="F100" s="94"/>
      <c r="G100" s="29"/>
      <c r="H100" s="29"/>
      <c r="I100" s="29"/>
      <c r="J100" s="29"/>
      <c r="K100" s="29"/>
      <c r="L100" s="29"/>
      <c r="M100" s="29"/>
      <c r="N100" s="29"/>
    </row>
    <row r="101" spans="1:14" ht="15" customHeight="1" x14ac:dyDescent="0.15">
      <c r="A101" s="100"/>
      <c r="B101" s="100"/>
      <c r="C101" s="100"/>
      <c r="D101" s="94"/>
      <c r="E101" s="29"/>
      <c r="F101" s="94"/>
      <c r="G101" s="29"/>
      <c r="H101" s="29"/>
      <c r="I101" s="29"/>
      <c r="J101" s="29"/>
      <c r="K101" s="29"/>
      <c r="L101" s="29"/>
      <c r="M101" s="29"/>
      <c r="N101" s="29"/>
    </row>
    <row r="102" spans="1:14" ht="15" customHeight="1" x14ac:dyDescent="0.15">
      <c r="A102" s="100"/>
      <c r="B102" s="100"/>
      <c r="C102" s="100"/>
      <c r="D102" s="94"/>
      <c r="E102" s="29"/>
      <c r="F102" s="94"/>
      <c r="G102" s="29"/>
      <c r="H102" s="29"/>
      <c r="I102" s="29"/>
      <c r="J102" s="29"/>
      <c r="K102" s="29"/>
      <c r="L102" s="29"/>
      <c r="M102" s="29"/>
      <c r="N102" s="29"/>
    </row>
    <row r="103" spans="1:14" ht="15" customHeight="1" x14ac:dyDescent="0.15">
      <c r="A103" s="100"/>
      <c r="B103" s="100"/>
      <c r="C103" s="100"/>
      <c r="D103" s="94"/>
      <c r="E103" s="29"/>
      <c r="F103" s="94"/>
      <c r="G103" s="29"/>
      <c r="H103" s="29"/>
      <c r="I103" s="29"/>
      <c r="J103" s="29"/>
      <c r="K103" s="29"/>
      <c r="L103" s="29"/>
      <c r="M103" s="29"/>
      <c r="N103" s="29"/>
    </row>
    <row r="104" spans="1:14" ht="15" customHeight="1" x14ac:dyDescent="0.15">
      <c r="A104" s="100"/>
      <c r="B104" s="100"/>
      <c r="C104" s="100"/>
      <c r="D104" s="94"/>
      <c r="E104" s="29"/>
      <c r="F104" s="94"/>
      <c r="G104" s="29"/>
      <c r="H104" s="29"/>
      <c r="I104" s="29"/>
      <c r="J104" s="29"/>
      <c r="K104" s="29"/>
      <c r="L104" s="29"/>
      <c r="M104" s="29"/>
      <c r="N104" s="29"/>
    </row>
    <row r="105" spans="1:14" ht="15" customHeight="1" x14ac:dyDescent="0.15">
      <c r="A105" s="100"/>
      <c r="B105" s="100"/>
      <c r="C105" s="100"/>
      <c r="D105" s="94"/>
      <c r="E105" s="29"/>
      <c r="F105" s="94"/>
      <c r="G105" s="29"/>
      <c r="H105" s="29"/>
      <c r="I105" s="29"/>
      <c r="J105" s="29"/>
      <c r="K105" s="29"/>
      <c r="L105" s="29"/>
      <c r="M105" s="29"/>
      <c r="N105" s="29"/>
    </row>
    <row r="106" spans="1:14" ht="15" customHeight="1" x14ac:dyDescent="0.15">
      <c r="A106" s="100"/>
      <c r="B106" s="100"/>
      <c r="C106" s="100"/>
      <c r="D106" s="94"/>
      <c r="E106" s="29"/>
      <c r="F106" s="94"/>
      <c r="G106" s="29"/>
      <c r="H106" s="29"/>
      <c r="I106" s="29"/>
      <c r="J106" s="29"/>
      <c r="K106" s="29"/>
      <c r="L106" s="29"/>
      <c r="M106" s="29"/>
      <c r="N106" s="29"/>
    </row>
    <row r="107" spans="1:14" ht="15" customHeight="1" x14ac:dyDescent="0.15">
      <c r="A107" s="100"/>
      <c r="B107" s="100"/>
      <c r="C107" s="100"/>
      <c r="D107" s="94"/>
      <c r="E107" s="29"/>
      <c r="F107" s="94"/>
      <c r="G107" s="29"/>
      <c r="H107" s="29"/>
      <c r="I107" s="29"/>
      <c r="J107" s="29"/>
      <c r="K107" s="29"/>
      <c r="L107" s="29"/>
      <c r="M107" s="29"/>
      <c r="N107" s="29"/>
    </row>
    <row r="108" spans="1:14" ht="15" customHeight="1" x14ac:dyDescent="0.15">
      <c r="A108" s="102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 spans="1:14" ht="15" customHeight="1" x14ac:dyDescent="0.15">
      <c r="A109" s="102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 spans="1:14" ht="15" customHeight="1" x14ac:dyDescent="0.15">
      <c r="A110" s="102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 spans="1:14" ht="15" customHeight="1" x14ac:dyDescent="0.15">
      <c r="A111" s="102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 spans="1:14" ht="15" customHeight="1" x14ac:dyDescent="0.15">
      <c r="A112" s="102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 spans="1:14" ht="15" customHeight="1" x14ac:dyDescent="0.15">
      <c r="A113" s="102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 spans="1:14" ht="15" customHeight="1" x14ac:dyDescent="0.15">
      <c r="A114" s="102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 spans="1:14" ht="15" customHeight="1" x14ac:dyDescent="0.15">
      <c r="A115" s="102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 spans="1:14" ht="15" customHeight="1" x14ac:dyDescent="0.15">
      <c r="A116" s="102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</row>
    <row r="117" spans="1:14" ht="15" customHeight="1" x14ac:dyDescent="0.15">
      <c r="A117" s="102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</row>
    <row r="118" spans="1:14" ht="15" customHeight="1" x14ac:dyDescent="0.15">
      <c r="A118" s="102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  <row r="119" spans="1:14" ht="15" customHeight="1" x14ac:dyDescent="0.15">
      <c r="A119" s="102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</row>
    <row r="120" spans="1:14" ht="15" customHeight="1" x14ac:dyDescent="0.15">
      <c r="A120" s="102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 spans="1:14" ht="15" customHeight="1" x14ac:dyDescent="0.15">
      <c r="A121" s="102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</row>
    <row r="122" spans="1:14" ht="15" customHeight="1" x14ac:dyDescent="0.15">
      <c r="A122" s="102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</row>
    <row r="123" spans="1:14" ht="15" customHeight="1" x14ac:dyDescent="0.15">
      <c r="A123" s="102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</row>
    <row r="124" spans="1:14" ht="15" customHeight="1" x14ac:dyDescent="0.15">
      <c r="A124" s="102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</row>
    <row r="125" spans="1:14" ht="15" customHeight="1" x14ac:dyDescent="0.15">
      <c r="A125" s="102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</row>
    <row r="126" spans="1:14" ht="15" customHeight="1" x14ac:dyDescent="0.15">
      <c r="A126" s="102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</row>
    <row r="127" spans="1:14" ht="15" customHeight="1" x14ac:dyDescent="0.15">
      <c r="A127" s="102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</row>
    <row r="128" spans="1:14" ht="15" customHeight="1" x14ac:dyDescent="0.15">
      <c r="A128" s="102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</row>
    <row r="129" spans="1:14" ht="15" customHeight="1" x14ac:dyDescent="0.15">
      <c r="A129" s="102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</row>
    <row r="130" spans="1:14" ht="15" customHeight="1" x14ac:dyDescent="0.15">
      <c r="A130" s="102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</row>
    <row r="131" spans="1:14" ht="15" customHeight="1" x14ac:dyDescent="0.15">
      <c r="A131" s="102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</row>
    <row r="132" spans="1:14" ht="15" customHeight="1" x14ac:dyDescent="0.15">
      <c r="A132" s="102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</row>
    <row r="133" spans="1:14" ht="15" customHeight="1" x14ac:dyDescent="0.15">
      <c r="A133" s="102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</row>
    <row r="134" spans="1:14" ht="15" customHeight="1" x14ac:dyDescent="0.15">
      <c r="A134" s="102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</row>
    <row r="135" spans="1:14" ht="15" customHeight="1" x14ac:dyDescent="0.15">
      <c r="A135" s="102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</row>
  </sheetData>
  <mergeCells count="11">
    <mergeCell ref="C5:F5"/>
    <mergeCell ref="A8:XFD8"/>
    <mergeCell ref="A16:XFD16"/>
    <mergeCell ref="A6:B6"/>
    <mergeCell ref="C6:F6"/>
    <mergeCell ref="A1:XFD1"/>
    <mergeCell ref="A3:B3"/>
    <mergeCell ref="C3:F3"/>
    <mergeCell ref="A4:B4"/>
    <mergeCell ref="C4:F4"/>
    <mergeCell ref="A5:B5"/>
  </mergeCells>
  <conditionalFormatting sqref="C3">
    <cfRule type="containsBlanks" dxfId="8" priority="4">
      <formula>LEN(TRIM(C3))=0</formula>
    </cfRule>
  </conditionalFormatting>
  <conditionalFormatting sqref="A16">
    <cfRule type="containsBlanks" dxfId="7" priority="3">
      <formula>LEN(TRIM(A16))=0</formula>
    </cfRule>
  </conditionalFormatting>
  <conditionalFormatting sqref="A19:D118 F19:J118">
    <cfRule type="expression" dxfId="6" priority="2">
      <formula>AND(COUNTA($A19:$N19)&gt;0,ISBLANK(A19))</formula>
    </cfRule>
  </conditionalFormatting>
  <conditionalFormatting sqref="A8">
    <cfRule type="containsBlanks" dxfId="5" priority="1">
      <formula>LEN(TRIM(A8))=0</formula>
    </cfRule>
  </conditionalFormatting>
  <dataValidations count="13">
    <dataValidation type="list" showErrorMessage="1" sqref="C3" xr:uid="{A98EC0A4-570D-4043-BFEE-BCCB45A454D7}">
      <formula1>GeneralCondition</formula1>
    </dataValidation>
    <dataValidation type="list" allowBlank="1" showErrorMessage="1" sqref="C4" xr:uid="{3E33BAA7-77D4-C740-BF1B-47470014758E}">
      <formula1>Prioritization</formula1>
    </dataValidation>
    <dataValidation type="textLength" operator="lessThanOrEqual" allowBlank="1" showInputMessage="1" showErrorMessage="1" prompt="Max. 1000 Zeichen." sqref="C5" xr:uid="{17A2E8D5-82CE-B64F-992D-C9B3207EE317}">
      <formula1>1000</formula1>
    </dataValidation>
    <dataValidation type="textLength" operator="lessThanOrEqual" allowBlank="1" showInputMessage="1" showErrorMessage="1" prompt="Max. 1000 Zeichen." sqref="C6" xr:uid="{AE9343CA-118F-7D4C-8802-2AFDC801246A}">
      <formula1>1000</formula1>
    </dataValidation>
    <dataValidation type="list" showInputMessage="1" prompt="Max. 5 Zeichen." sqref="A19:A118" xr:uid="{141589B0-4138-DC46-894E-15253E2173E4}">
      <formula1>WS17ExpertCodes</formula1>
    </dataValidation>
    <dataValidation type="list" showErrorMessage="1" sqref="B19:B118" xr:uid="{AB4B1B5A-FBFB-E048-B81E-EC300D9CE0B6}">
      <formula1>ElectricityProducerType</formula1>
    </dataValidation>
    <dataValidation type="list" showInputMessage="1" showErrorMessage="1" prompt="Max. 5 Zeichen." sqref="C19:C118" xr:uid="{55906C59-F4B3-574E-9CB7-AA510601F06E}">
      <formula1>HeatProducerExpertCodes</formula1>
    </dataValidation>
    <dataValidation type="list" showErrorMessage="1" sqref="M19:M118" xr:uid="{C3774645-F59B-E747-BB4A-BC07D7E82BC6}">
      <formula1>CalculationBase_OnlyLump</formula1>
    </dataValidation>
    <dataValidation type="textLength" operator="lessThanOrEqual" allowBlank="1" showInputMessage="1" showErrorMessage="1" prompt="Max. 250 Zeichen." sqref="D19:D119" xr:uid="{D5E75B62-8D92-0940-A70B-D58876CE3CB6}">
      <formula1>250</formula1>
    </dataValidation>
    <dataValidation type="list" sqref="A11" xr:uid="{E82497F4-55F7-4049-9A7B-87785FE4438C}">
      <formula1>EMS_ExpertCode</formula1>
    </dataValidation>
    <dataValidation type="list" showErrorMessage="1" sqref="B11" xr:uid="{847EBF46-CEC6-8746-9762-1CB83BB1D463}">
      <formula1>EnergyManagementSystemType</formula1>
    </dataValidation>
    <dataValidation type="list" showErrorMessage="1" sqref="D11" xr:uid="{17E238CF-1256-654F-ADA9-3120A5782D73}">
      <formula1>Boolean</formula1>
    </dataValidation>
    <dataValidation type="list" showErrorMessage="1" sqref="I11" xr:uid="{42EB7B08-4CE9-364E-B0B8-3BCC2653F305}">
      <formula1>CalculationBase_OnlyLump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9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95FE-5D92-3342-A2FD-B6698196373B}">
  <dimension ref="A1:O24"/>
  <sheetViews>
    <sheetView zoomScaleNormal="100" workbookViewId="0"/>
  </sheetViews>
  <sheetFormatPr baseColWidth="10" defaultColWidth="9.1640625" defaultRowHeight="15" customHeight="1" x14ac:dyDescent="0.15"/>
  <cols>
    <col min="1" max="1" width="8.5" style="1" customWidth="1"/>
    <col min="2" max="3" width="27.6640625" style="1" customWidth="1"/>
    <col min="4" max="4" width="25.5" style="1" customWidth="1"/>
    <col min="5" max="5" width="14.33203125" style="1" customWidth="1"/>
    <col min="6" max="6" width="14.83203125" style="1" customWidth="1"/>
    <col min="7" max="9" width="9.6640625" style="1" customWidth="1"/>
    <col min="10" max="10" width="15.5" style="1" customWidth="1"/>
    <col min="11" max="11" width="22.33203125" style="1" customWidth="1"/>
    <col min="12" max="12" width="17.83203125" style="1" customWidth="1"/>
    <col min="13" max="13" width="13.5" style="1" customWidth="1"/>
    <col min="14" max="14" width="25.33203125" style="1" customWidth="1"/>
    <col min="15" max="15" width="15.5" style="1" customWidth="1"/>
    <col min="16" max="16384" width="9.1640625" style="1"/>
  </cols>
  <sheetData>
    <row r="1" spans="1:15" ht="15" customHeight="1" x14ac:dyDescent="0.15">
      <c r="A1" s="221" t="s">
        <v>60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</row>
    <row r="2" spans="1:15" ht="27.75" customHeight="1" x14ac:dyDescent="0.15">
      <c r="G2" s="24"/>
    </row>
    <row r="3" spans="1:15" ht="15" customHeight="1" x14ac:dyDescent="0.15">
      <c r="A3" s="52"/>
      <c r="G3" s="209" t="s">
        <v>67</v>
      </c>
      <c r="H3" s="205"/>
      <c r="I3" s="206"/>
    </row>
    <row r="4" spans="1:15" s="34" customFormat="1" ht="30" customHeight="1" x14ac:dyDescent="0.15">
      <c r="A4" s="119" t="s">
        <v>16</v>
      </c>
      <c r="B4" s="128" t="s">
        <v>27</v>
      </c>
      <c r="C4" s="128" t="s">
        <v>161</v>
      </c>
      <c r="D4" s="128" t="s">
        <v>61</v>
      </c>
      <c r="E4" s="128" t="s">
        <v>62</v>
      </c>
      <c r="F4" s="128" t="s">
        <v>201</v>
      </c>
      <c r="G4" s="128" t="s">
        <v>68</v>
      </c>
      <c r="H4" s="128" t="s">
        <v>69</v>
      </c>
      <c r="I4" s="128" t="s">
        <v>70</v>
      </c>
      <c r="J4" s="128" t="s">
        <v>119</v>
      </c>
      <c r="K4" s="128" t="s">
        <v>21</v>
      </c>
      <c r="L4" s="119" t="s">
        <v>204</v>
      </c>
      <c r="M4" s="119" t="s">
        <v>205</v>
      </c>
      <c r="N4" s="119" t="s">
        <v>196</v>
      </c>
      <c r="O4" s="119" t="s">
        <v>197</v>
      </c>
    </row>
    <row r="5" spans="1:15" ht="15" customHeight="1" x14ac:dyDescent="0.15">
      <c r="G5" s="24"/>
      <c r="H5" s="24"/>
      <c r="I5" s="24"/>
    </row>
    <row r="6" spans="1:15" ht="15" customHeight="1" x14ac:dyDescent="0.15">
      <c r="G6" s="24"/>
      <c r="H6" s="24"/>
      <c r="I6" s="24"/>
    </row>
    <row r="7" spans="1:15" ht="15" customHeight="1" x14ac:dyDescent="0.15">
      <c r="G7" s="24"/>
      <c r="H7" s="24"/>
      <c r="I7" s="24"/>
    </row>
    <row r="8" spans="1:15" ht="15" customHeight="1" x14ac:dyDescent="0.15">
      <c r="G8" s="24"/>
      <c r="H8" s="24"/>
      <c r="I8" s="24"/>
    </row>
    <row r="9" spans="1:15" ht="15" customHeight="1" x14ac:dyDescent="0.15">
      <c r="G9" s="24"/>
      <c r="H9" s="24"/>
      <c r="I9" s="24"/>
    </row>
    <row r="10" spans="1:15" ht="15" customHeight="1" x14ac:dyDescent="0.15">
      <c r="G10" s="24"/>
      <c r="H10" s="24"/>
      <c r="I10" s="24"/>
    </row>
    <row r="11" spans="1:15" ht="15" customHeight="1" x14ac:dyDescent="0.15">
      <c r="G11" s="24"/>
      <c r="H11" s="24"/>
      <c r="I11" s="24"/>
    </row>
    <row r="12" spans="1:15" ht="15" customHeight="1" x14ac:dyDescent="0.15">
      <c r="G12" s="24"/>
      <c r="H12" s="24"/>
      <c r="I12" s="24"/>
    </row>
    <row r="13" spans="1:15" ht="15" customHeight="1" x14ac:dyDescent="0.15">
      <c r="G13" s="24"/>
      <c r="H13" s="24"/>
      <c r="I13" s="24"/>
    </row>
    <row r="14" spans="1:15" ht="15" customHeight="1" x14ac:dyDescent="0.15">
      <c r="G14" s="24"/>
      <c r="H14" s="24"/>
      <c r="I14" s="24"/>
    </row>
    <row r="15" spans="1:15" ht="15" customHeight="1" x14ac:dyDescent="0.15">
      <c r="G15" s="24"/>
      <c r="H15" s="24"/>
      <c r="I15" s="24"/>
    </row>
    <row r="16" spans="1:15" ht="15" customHeight="1" x14ac:dyDescent="0.15">
      <c r="G16" s="24"/>
      <c r="H16" s="24"/>
      <c r="I16" s="24"/>
    </row>
    <row r="17" spans="7:9" ht="15" customHeight="1" x14ac:dyDescent="0.15">
      <c r="G17" s="24"/>
      <c r="H17" s="24"/>
      <c r="I17" s="24"/>
    </row>
    <row r="18" spans="7:9" ht="15" customHeight="1" x14ac:dyDescent="0.15">
      <c r="G18" s="24"/>
      <c r="H18" s="24"/>
      <c r="I18" s="24"/>
    </row>
    <row r="19" spans="7:9" ht="15" customHeight="1" x14ac:dyDescent="0.15">
      <c r="G19" s="24"/>
      <c r="H19" s="24"/>
      <c r="I19" s="24"/>
    </row>
    <row r="20" spans="7:9" ht="15" customHeight="1" x14ac:dyDescent="0.15">
      <c r="G20" s="24"/>
      <c r="H20" s="24"/>
      <c r="I20" s="24"/>
    </row>
    <row r="21" spans="7:9" ht="15" customHeight="1" x14ac:dyDescent="0.15">
      <c r="G21" s="24"/>
      <c r="H21" s="24"/>
      <c r="I21" s="24"/>
    </row>
    <row r="22" spans="7:9" ht="15" customHeight="1" x14ac:dyDescent="0.15">
      <c r="G22" s="24"/>
      <c r="H22" s="24"/>
      <c r="I22" s="24"/>
    </row>
    <row r="23" spans="7:9" ht="15" customHeight="1" x14ac:dyDescent="0.15">
      <c r="G23" s="24"/>
      <c r="H23" s="24"/>
      <c r="I23" s="24"/>
    </row>
    <row r="24" spans="7:9" ht="15" customHeight="1" x14ac:dyDescent="0.15">
      <c r="G24" s="24"/>
      <c r="H24" s="24"/>
      <c r="I24" s="24"/>
    </row>
  </sheetData>
  <mergeCells count="2">
    <mergeCell ref="G3:I3"/>
    <mergeCell ref="A1:K1"/>
  </mergeCells>
  <conditionalFormatting sqref="A5:K104">
    <cfRule type="expression" dxfId="4" priority="1">
      <formula>AND(COUNTA($A5:$O5)&gt;0,ISBLANK(A5))</formula>
    </cfRule>
  </conditionalFormatting>
  <dataValidations count="5">
    <dataValidation type="list" showInputMessage="1" prompt="Max. 5 Zeichen." sqref="A5:A104" xr:uid="{94E07C2D-8A46-4E42-A863-4CD46C28510B}">
      <formula1>WS18ExpertCodes</formula1>
    </dataValidation>
    <dataValidation type="list" showErrorMessage="1" sqref="C5:C100" xr:uid="{C1D1BAF0-92C5-D14B-AB68-B82D60E03C88}">
      <formula1>BuildingUsageTypeSelection</formula1>
    </dataValidation>
    <dataValidation type="list" showErrorMessage="1" sqref="N5:N104" xr:uid="{C4F31220-1AB0-F842-894D-E9D546AB52E8}">
      <formula1>CalculationBase_OnlyLump</formula1>
    </dataValidation>
    <dataValidation type="list" showErrorMessage="1" sqref="K5:K104" xr:uid="{B4820EBB-9709-2C4C-9B50-B1AACEA76E13}">
      <formula1>OtherConsumerType</formula1>
    </dataValidation>
    <dataValidation type="textLength" operator="lessThanOrEqual" allowBlank="1" showInputMessage="1" showErrorMessage="1" prompt="Max. 250 Zeichen." sqref="B5:B105" xr:uid="{4626CC06-97C5-C943-B633-02B4BC80B92A}">
      <formula1>250</formula1>
    </dataValidation>
  </dataValidations>
  <pageMargins left="0.7" right="0.7" top="0.75" bottom="0.75" header="0.3" footer="0.3"/>
  <pageSetup paperSize="9" orientation="portrait" verticalDpi="30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423D-D161-2841-8434-C27E0F1BE68B}">
  <sheetPr codeName="Sheet17"/>
  <dimension ref="A1:M24"/>
  <sheetViews>
    <sheetView zoomScaleNormal="100" workbookViewId="0"/>
  </sheetViews>
  <sheetFormatPr baseColWidth="10" defaultColWidth="9.1640625" defaultRowHeight="15" customHeight="1" x14ac:dyDescent="0.15"/>
  <cols>
    <col min="1" max="2" width="28.83203125" style="1" customWidth="1"/>
    <col min="3" max="3" width="21.5" style="1" customWidth="1"/>
    <col min="4" max="4" width="19.1640625" style="1" customWidth="1"/>
    <col min="5" max="7" width="9.6640625" style="1" customWidth="1"/>
    <col min="8" max="8" width="28.5" style="1" customWidth="1"/>
    <col min="9" max="9" width="24.5" style="1" customWidth="1"/>
    <col min="10" max="16384" width="9.1640625" style="1"/>
  </cols>
  <sheetData>
    <row r="1" spans="1:13" ht="15" customHeight="1" x14ac:dyDescent="0.15">
      <c r="A1" s="225" t="s">
        <v>63</v>
      </c>
      <c r="B1" s="226"/>
      <c r="C1" s="226"/>
      <c r="D1" s="226"/>
      <c r="E1" s="226"/>
      <c r="F1" s="226"/>
      <c r="G1" s="226"/>
      <c r="H1" s="226"/>
      <c r="I1" s="226"/>
    </row>
    <row r="2" spans="1:13" ht="15" customHeight="1" x14ac:dyDescent="0.15">
      <c r="C2" s="34"/>
      <c r="D2" s="34"/>
      <c r="E2" s="34"/>
      <c r="F2" s="34"/>
      <c r="G2" s="34"/>
    </row>
    <row r="3" spans="1:13" ht="15" customHeight="1" x14ac:dyDescent="0.15">
      <c r="A3" s="34"/>
      <c r="B3" s="34"/>
      <c r="C3" s="34"/>
      <c r="D3" s="34"/>
      <c r="E3" s="223" t="s">
        <v>67</v>
      </c>
      <c r="F3" s="224"/>
      <c r="G3" s="224"/>
    </row>
    <row r="4" spans="1:13" s="34" customFormat="1" ht="25" customHeight="1" x14ac:dyDescent="0.15">
      <c r="A4" s="125" t="s">
        <v>27</v>
      </c>
      <c r="B4" s="125" t="s">
        <v>161</v>
      </c>
      <c r="C4" s="125" t="s">
        <v>21</v>
      </c>
      <c r="D4" s="125" t="s">
        <v>167</v>
      </c>
      <c r="E4" s="125" t="s">
        <v>68</v>
      </c>
      <c r="F4" s="125" t="s">
        <v>69</v>
      </c>
      <c r="G4" s="125" t="s">
        <v>70</v>
      </c>
      <c r="H4" s="125" t="s">
        <v>188</v>
      </c>
      <c r="I4" s="125" t="s">
        <v>189</v>
      </c>
    </row>
    <row r="5" spans="1:13" ht="15" customHeight="1" x14ac:dyDescent="0.15">
      <c r="A5" s="2"/>
      <c r="B5" s="2"/>
      <c r="C5" s="2"/>
      <c r="D5" s="22"/>
      <c r="E5" s="24"/>
      <c r="F5" s="24"/>
      <c r="G5" s="24"/>
    </row>
    <row r="6" spans="1:13" ht="15" customHeight="1" x14ac:dyDescent="0.15">
      <c r="A6" s="2"/>
      <c r="B6" s="2"/>
      <c r="C6" s="2"/>
      <c r="D6" s="22"/>
      <c r="E6" s="24"/>
      <c r="F6" s="24"/>
      <c r="G6" s="24"/>
    </row>
    <row r="7" spans="1:13" ht="15" customHeight="1" x14ac:dyDescent="0.2">
      <c r="A7" s="2"/>
      <c r="B7" s="2"/>
      <c r="C7" s="2"/>
      <c r="D7" s="22"/>
      <c r="E7" s="24"/>
      <c r="F7" s="24"/>
      <c r="G7" s="24"/>
      <c r="M7"/>
    </row>
    <row r="8" spans="1:13" ht="15" customHeight="1" x14ac:dyDescent="0.15">
      <c r="A8" s="2"/>
      <c r="B8" s="2"/>
      <c r="C8" s="2"/>
      <c r="D8" s="22"/>
      <c r="E8" s="24"/>
      <c r="F8" s="24"/>
      <c r="G8" s="24"/>
    </row>
    <row r="9" spans="1:13" ht="15" customHeight="1" x14ac:dyDescent="0.15">
      <c r="A9" s="2"/>
      <c r="B9" s="2"/>
      <c r="C9" s="2"/>
      <c r="D9" s="22"/>
      <c r="E9" s="24"/>
      <c r="F9" s="24"/>
      <c r="G9" s="24"/>
    </row>
    <row r="10" spans="1:13" ht="15" customHeight="1" x14ac:dyDescent="0.15">
      <c r="D10" s="21"/>
      <c r="E10" s="24"/>
      <c r="F10" s="24"/>
      <c r="G10" s="24"/>
    </row>
    <row r="11" spans="1:13" ht="15" customHeight="1" x14ac:dyDescent="0.15">
      <c r="D11" s="21"/>
      <c r="E11" s="24"/>
      <c r="F11" s="24"/>
      <c r="G11" s="24"/>
    </row>
    <row r="12" spans="1:13" ht="15" customHeight="1" x14ac:dyDescent="0.15">
      <c r="D12" s="21"/>
      <c r="E12" s="24"/>
      <c r="F12" s="24"/>
      <c r="G12" s="24"/>
    </row>
    <row r="13" spans="1:13" ht="15" customHeight="1" x14ac:dyDescent="0.15">
      <c r="D13" s="21"/>
      <c r="E13" s="24"/>
      <c r="F13" s="24"/>
      <c r="G13" s="24"/>
    </row>
    <row r="14" spans="1:13" ht="15" customHeight="1" x14ac:dyDescent="0.15">
      <c r="D14" s="21"/>
      <c r="E14" s="24"/>
      <c r="F14" s="24"/>
      <c r="G14" s="24"/>
    </row>
    <row r="15" spans="1:13" ht="15" customHeight="1" x14ac:dyDescent="0.15">
      <c r="D15" s="21"/>
      <c r="E15" s="24"/>
      <c r="F15" s="24"/>
      <c r="G15" s="24"/>
    </row>
    <row r="16" spans="1:13" ht="15" customHeight="1" x14ac:dyDescent="0.15">
      <c r="D16" s="21"/>
      <c r="E16" s="24"/>
      <c r="F16" s="24"/>
      <c r="G16" s="24"/>
    </row>
    <row r="17" spans="4:7" ht="15" customHeight="1" x14ac:dyDescent="0.15">
      <c r="D17" s="21"/>
      <c r="E17" s="24"/>
      <c r="F17" s="24"/>
      <c r="G17" s="24"/>
    </row>
    <row r="18" spans="4:7" ht="15" customHeight="1" x14ac:dyDescent="0.15">
      <c r="D18" s="21"/>
      <c r="E18" s="24"/>
      <c r="F18" s="24"/>
      <c r="G18" s="24"/>
    </row>
    <row r="19" spans="4:7" ht="15" customHeight="1" x14ac:dyDescent="0.15">
      <c r="D19" s="21"/>
      <c r="E19" s="24"/>
      <c r="F19" s="24"/>
      <c r="G19" s="24"/>
    </row>
    <row r="20" spans="4:7" ht="15" customHeight="1" x14ac:dyDescent="0.15">
      <c r="D20" s="21"/>
      <c r="E20" s="24"/>
      <c r="F20" s="24"/>
      <c r="G20" s="24"/>
    </row>
    <row r="21" spans="4:7" ht="15" customHeight="1" x14ac:dyDescent="0.15">
      <c r="D21" s="21"/>
      <c r="E21" s="24"/>
      <c r="F21" s="24"/>
      <c r="G21" s="24"/>
    </row>
    <row r="22" spans="4:7" ht="15" customHeight="1" x14ac:dyDescent="0.15">
      <c r="D22" s="21"/>
      <c r="E22" s="24"/>
      <c r="F22" s="24"/>
      <c r="G22" s="24"/>
    </row>
    <row r="23" spans="4:7" ht="15" customHeight="1" x14ac:dyDescent="0.15">
      <c r="D23" s="21"/>
      <c r="E23" s="24"/>
      <c r="F23" s="24"/>
      <c r="G23" s="24"/>
    </row>
    <row r="24" spans="4:7" ht="15" customHeight="1" x14ac:dyDescent="0.15">
      <c r="D24" s="21"/>
      <c r="E24" s="24"/>
      <c r="F24" s="24"/>
      <c r="G24" s="24"/>
    </row>
  </sheetData>
  <mergeCells count="2">
    <mergeCell ref="E3:G3"/>
    <mergeCell ref="A1:I1"/>
  </mergeCells>
  <conditionalFormatting sqref="A5:H104">
    <cfRule type="expression" dxfId="3" priority="1">
      <formula>AND(COUNTA($A5:$I5)&gt;0,ISBLANK(A5))</formula>
    </cfRule>
  </conditionalFormatting>
  <dataValidations count="3">
    <dataValidation type="list" showErrorMessage="1" sqref="B5:B100" xr:uid="{740F7613-E1AB-F44F-B7C4-B728CB17053F}">
      <formula1>BuildingUsageTypeSelection</formula1>
    </dataValidation>
    <dataValidation type="list" showErrorMessage="1" sqref="C5:C104" xr:uid="{6442BB2A-24FB-DA45-BC43-C2875DA23531}">
      <formula1>ConsumerMeterType</formula1>
    </dataValidation>
    <dataValidation type="textLength" operator="lessThanOrEqual" allowBlank="1" showInputMessage="1" showErrorMessage="1" prompt="Max. 250 Zeichen." sqref="A5:A105" xr:uid="{7D4E7778-0150-B540-BBB5-A7EC39966670}">
      <formula1>250</formula1>
    </dataValidation>
  </dataValidations>
  <pageMargins left="0.7" right="0.7" top="0.75" bottom="0.75" header="0.3" footer="0.3"/>
  <pageSetup paperSize="9" orientation="portrait"/>
</worksheet>
</file>

<file path=xl/worksheets/sheet2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FE5E-5536-B544-BEB3-9D9D83931BEC}">
  <dimension ref="A1:V24"/>
  <sheetViews>
    <sheetView zoomScaleNormal="100" workbookViewId="0"/>
  </sheetViews>
  <sheetFormatPr baseColWidth="10" defaultColWidth="9.1640625" defaultRowHeight="15" customHeight="1" x14ac:dyDescent="0.15"/>
  <cols>
    <col min="1" max="1" width="6.1640625" style="1" customWidth="1"/>
    <col min="2" max="3" width="29.5" style="3" customWidth="1"/>
    <col min="4" max="4" width="32.6640625" style="1" customWidth="1"/>
    <col min="5" max="7" width="9.6640625" style="1" customWidth="1"/>
    <col min="8" max="8" width="14.6640625" style="1" customWidth="1"/>
    <col min="9" max="9" width="11.5" style="1" customWidth="1"/>
    <col min="10" max="10" width="15.5" style="1" customWidth="1"/>
    <col min="11" max="11" width="20.1640625" style="1" customWidth="1"/>
    <col min="12" max="12" width="17.1640625" style="1" customWidth="1"/>
    <col min="13" max="13" width="23" style="1" customWidth="1"/>
    <col min="14" max="14" width="17.5" style="1" customWidth="1"/>
    <col min="15" max="15" width="18" style="1" customWidth="1"/>
    <col min="16" max="16" width="17.33203125" style="1" customWidth="1"/>
    <col min="17" max="19" width="16.6640625" style="1" customWidth="1"/>
    <col min="20" max="20" width="12.5" style="1" customWidth="1"/>
    <col min="21" max="21" width="21.33203125" style="1" customWidth="1"/>
    <col min="22" max="22" width="17.33203125" style="1" customWidth="1"/>
    <col min="23" max="16384" width="9.1640625" style="1"/>
  </cols>
  <sheetData>
    <row r="1" spans="1:22" s="154" customFormat="1" ht="15" customHeight="1" thickBot="1" x14ac:dyDescent="0.2">
      <c r="A1" s="153" t="s">
        <v>147</v>
      </c>
    </row>
    <row r="2" spans="1:22" ht="15" customHeight="1" x14ac:dyDescent="0.15">
      <c r="H2" s="4"/>
      <c r="I2" s="21"/>
      <c r="J2" s="21"/>
      <c r="K2" s="4"/>
    </row>
    <row r="3" spans="1:22" ht="15" customHeight="1" x14ac:dyDescent="0.15">
      <c r="A3" s="159" t="s">
        <v>193</v>
      </c>
      <c r="B3" s="160"/>
      <c r="C3" s="227"/>
      <c r="D3" s="228"/>
      <c r="E3" s="57"/>
      <c r="F3" s="57"/>
      <c r="G3" s="57"/>
      <c r="H3" s="57"/>
      <c r="I3" s="57"/>
    </row>
    <row r="4" spans="1:22" ht="62.25" customHeight="1" x14ac:dyDescent="0.15">
      <c r="A4" s="155" t="s">
        <v>18</v>
      </c>
      <c r="B4" s="156"/>
      <c r="C4" s="227"/>
      <c r="D4" s="228"/>
      <c r="E4" s="57"/>
      <c r="F4" s="57"/>
      <c r="G4" s="57"/>
      <c r="H4" s="57"/>
      <c r="I4" s="57"/>
    </row>
    <row r="5" spans="1:22" ht="62.25" customHeight="1" x14ac:dyDescent="0.15">
      <c r="A5" s="155" t="s">
        <v>91</v>
      </c>
      <c r="B5" s="156"/>
      <c r="C5" s="227"/>
      <c r="D5" s="228"/>
      <c r="E5" s="57"/>
      <c r="F5" s="57"/>
      <c r="G5" s="57"/>
      <c r="H5" s="57"/>
      <c r="I5" s="57"/>
    </row>
    <row r="6" spans="1:22" ht="26.25" customHeight="1" x14ac:dyDescent="0.15">
      <c r="H6" s="4"/>
      <c r="I6" s="21"/>
      <c r="J6" s="21"/>
      <c r="K6" s="4"/>
    </row>
    <row r="7" spans="1:22" ht="15" customHeight="1" x14ac:dyDescent="0.15">
      <c r="E7" s="209" t="s">
        <v>67</v>
      </c>
      <c r="F7" s="205"/>
      <c r="G7" s="206"/>
      <c r="H7" s="4"/>
      <c r="I7" s="21"/>
      <c r="K7" s="223" t="s">
        <v>157</v>
      </c>
      <c r="L7" s="224"/>
      <c r="M7" s="224"/>
      <c r="N7" s="85"/>
    </row>
    <row r="8" spans="1:22" ht="34.5" customHeight="1" x14ac:dyDescent="0.15">
      <c r="A8" s="119" t="s">
        <v>16</v>
      </c>
      <c r="B8" s="124" t="s">
        <v>27</v>
      </c>
      <c r="C8" s="124" t="s">
        <v>161</v>
      </c>
      <c r="D8" s="124" t="s">
        <v>156</v>
      </c>
      <c r="E8" s="125" t="s">
        <v>68</v>
      </c>
      <c r="F8" s="125" t="s">
        <v>69</v>
      </c>
      <c r="G8" s="125" t="s">
        <v>70</v>
      </c>
      <c r="H8" s="120" t="s">
        <v>199</v>
      </c>
      <c r="I8" s="124" t="s">
        <v>201</v>
      </c>
      <c r="J8" s="124" t="s">
        <v>119</v>
      </c>
      <c r="K8" s="124" t="s">
        <v>148</v>
      </c>
      <c r="L8" s="124" t="s">
        <v>155</v>
      </c>
      <c r="M8" s="124" t="s">
        <v>149</v>
      </c>
      <c r="N8" s="124" t="s">
        <v>150</v>
      </c>
      <c r="O8" s="124" t="s">
        <v>151</v>
      </c>
      <c r="P8" s="124" t="s">
        <v>152</v>
      </c>
      <c r="Q8" s="124" t="s">
        <v>153</v>
      </c>
      <c r="R8" s="124" t="s">
        <v>154</v>
      </c>
      <c r="S8" s="119" t="s">
        <v>204</v>
      </c>
      <c r="T8" s="119" t="s">
        <v>205</v>
      </c>
      <c r="U8" s="119" t="s">
        <v>196</v>
      </c>
      <c r="V8" s="119" t="s">
        <v>197</v>
      </c>
    </row>
    <row r="9" spans="1:22" ht="15" customHeight="1" x14ac:dyDescent="0.15">
      <c r="E9" s="58"/>
      <c r="F9" s="58"/>
      <c r="G9" s="58"/>
      <c r="H9" s="84"/>
      <c r="I9" s="29"/>
      <c r="J9" s="29"/>
      <c r="K9" s="29"/>
      <c r="L9" s="4"/>
      <c r="N9" s="21"/>
      <c r="O9" s="21"/>
      <c r="P9" s="21"/>
      <c r="Q9" s="21"/>
      <c r="R9" s="21"/>
    </row>
    <row r="10" spans="1:22" ht="15" customHeight="1" x14ac:dyDescent="0.15">
      <c r="E10" s="58"/>
      <c r="F10" s="58"/>
      <c r="G10" s="58"/>
      <c r="H10" s="84"/>
      <c r="I10" s="5"/>
      <c r="J10" s="21"/>
      <c r="K10" s="21"/>
      <c r="L10" s="4"/>
    </row>
    <row r="11" spans="1:22" ht="15" customHeight="1" x14ac:dyDescent="0.15">
      <c r="E11" s="58"/>
      <c r="F11" s="58"/>
      <c r="G11" s="58"/>
      <c r="H11" s="84"/>
      <c r="I11" s="5"/>
      <c r="J11" s="21"/>
      <c r="K11" s="21"/>
      <c r="L11" s="4"/>
    </row>
    <row r="12" spans="1:22" ht="15" customHeight="1" x14ac:dyDescent="0.15">
      <c r="E12" s="58"/>
      <c r="F12" s="58"/>
      <c r="G12" s="58"/>
      <c r="H12" s="84"/>
      <c r="I12" s="5"/>
      <c r="J12" s="21"/>
      <c r="K12" s="21"/>
      <c r="L12" s="4"/>
    </row>
    <row r="13" spans="1:22" ht="15" customHeight="1" x14ac:dyDescent="0.15">
      <c r="E13" s="58"/>
      <c r="F13" s="58"/>
      <c r="G13" s="58"/>
      <c r="H13" s="84"/>
      <c r="I13" s="5"/>
      <c r="J13" s="21"/>
      <c r="K13" s="21"/>
      <c r="L13" s="4"/>
    </row>
    <row r="14" spans="1:22" ht="15" customHeight="1" x14ac:dyDescent="0.15">
      <c r="E14" s="58"/>
      <c r="F14" s="58"/>
      <c r="G14" s="58"/>
      <c r="H14" s="84"/>
      <c r="I14" s="5"/>
      <c r="J14" s="21"/>
      <c r="K14" s="21"/>
      <c r="L14" s="4"/>
    </row>
    <row r="15" spans="1:22" ht="15" customHeight="1" x14ac:dyDescent="0.15">
      <c r="E15" s="58"/>
      <c r="F15" s="58"/>
      <c r="G15" s="58"/>
      <c r="H15" s="84"/>
      <c r="I15" s="5"/>
      <c r="J15" s="21"/>
      <c r="K15" s="21"/>
      <c r="L15" s="4"/>
    </row>
    <row r="16" spans="1:22" ht="15" customHeight="1" x14ac:dyDescent="0.15">
      <c r="E16" s="58"/>
      <c r="F16" s="58"/>
      <c r="G16" s="58"/>
      <c r="H16" s="84"/>
      <c r="I16" s="5"/>
      <c r="J16" s="21"/>
      <c r="K16" s="21"/>
      <c r="L16" s="4"/>
    </row>
    <row r="17" spans="5:12" ht="15" customHeight="1" x14ac:dyDescent="0.15">
      <c r="E17" s="58"/>
      <c r="F17" s="58"/>
      <c r="G17" s="58"/>
      <c r="H17" s="84"/>
      <c r="I17" s="5"/>
      <c r="J17" s="21"/>
      <c r="K17" s="21"/>
      <c r="L17" s="4"/>
    </row>
    <row r="18" spans="5:12" ht="15" customHeight="1" x14ac:dyDescent="0.15">
      <c r="E18" s="58"/>
      <c r="F18" s="58"/>
      <c r="G18" s="58"/>
      <c r="H18" s="84"/>
      <c r="I18" s="5"/>
      <c r="J18" s="21"/>
      <c r="K18" s="21"/>
      <c r="L18" s="4"/>
    </row>
    <row r="19" spans="5:12" ht="15" customHeight="1" x14ac:dyDescent="0.15">
      <c r="E19" s="58"/>
      <c r="F19" s="58"/>
      <c r="G19" s="58"/>
      <c r="H19" s="84"/>
      <c r="I19" s="5"/>
      <c r="J19" s="21"/>
      <c r="K19" s="21"/>
      <c r="L19" s="4"/>
    </row>
    <row r="20" spans="5:12" ht="15" customHeight="1" x14ac:dyDescent="0.15">
      <c r="E20" s="58"/>
      <c r="F20" s="58"/>
      <c r="G20" s="58"/>
      <c r="H20" s="84"/>
      <c r="I20" s="5"/>
      <c r="J20" s="21"/>
      <c r="K20" s="21"/>
      <c r="L20" s="4"/>
    </row>
    <row r="21" spans="5:12" ht="15" customHeight="1" x14ac:dyDescent="0.15">
      <c r="E21" s="58"/>
      <c r="F21" s="58"/>
      <c r="G21" s="58"/>
      <c r="H21" s="84"/>
      <c r="I21" s="5"/>
      <c r="J21" s="21"/>
      <c r="K21" s="21"/>
      <c r="L21" s="4"/>
    </row>
    <row r="22" spans="5:12" ht="15" customHeight="1" x14ac:dyDescent="0.15">
      <c r="E22" s="58"/>
      <c r="F22" s="58"/>
      <c r="G22" s="58"/>
      <c r="H22" s="84"/>
      <c r="I22" s="5"/>
      <c r="J22" s="21"/>
      <c r="K22" s="21"/>
      <c r="L22" s="4"/>
    </row>
    <row r="23" spans="5:12" ht="15" customHeight="1" x14ac:dyDescent="0.15">
      <c r="E23" s="58"/>
      <c r="F23" s="58"/>
      <c r="G23" s="58"/>
      <c r="H23" s="84"/>
      <c r="I23" s="5"/>
      <c r="J23" s="21"/>
      <c r="K23" s="21"/>
      <c r="L23" s="4"/>
    </row>
    <row r="24" spans="5:12" ht="15" customHeight="1" x14ac:dyDescent="0.15">
      <c r="E24" s="58"/>
      <c r="F24" s="58"/>
      <c r="G24" s="58"/>
      <c r="H24" s="84"/>
      <c r="I24" s="5"/>
      <c r="J24" s="21"/>
      <c r="K24" s="21"/>
      <c r="L24" s="4"/>
    </row>
  </sheetData>
  <mergeCells count="9">
    <mergeCell ref="A1:XFD1"/>
    <mergeCell ref="K7:M7"/>
    <mergeCell ref="A3:B3"/>
    <mergeCell ref="A4:B4"/>
    <mergeCell ref="E7:G7"/>
    <mergeCell ref="A5:B5"/>
    <mergeCell ref="C4:D4"/>
    <mergeCell ref="C3:D3"/>
    <mergeCell ref="C5:D5"/>
  </mergeCells>
  <conditionalFormatting sqref="A9:G13 I9:R13">
    <cfRule type="expression" dxfId="2" priority="1">
      <formula>AND(COUNTA($A9:$V9)&gt;0,ISBLANK(A9))</formula>
    </cfRule>
  </conditionalFormatting>
  <dataValidations count="10">
    <dataValidation type="list" allowBlank="1" showErrorMessage="1" sqref="C3" xr:uid="{589AC339-05C6-594A-9739-DAC8F3222418}">
      <formula1>Prioritization</formula1>
    </dataValidation>
    <dataValidation type="textLength" operator="lessThanOrEqual" allowBlank="1" showInputMessage="1" showErrorMessage="1" prompt="Max. 1000 Zeichen." sqref="C4" xr:uid="{A6AD4378-E661-284E-90E5-F0E52B82C3F6}">
      <formula1>1000</formula1>
    </dataValidation>
    <dataValidation type="textLength" operator="lessThanOrEqual" allowBlank="1" showInputMessage="1" showErrorMessage="1" prompt="Max. 1000 Zeichen." sqref="C5" xr:uid="{535BAF49-C00B-2A4E-9A7A-AF04B80989DB}">
      <formula1>1000</formula1>
    </dataValidation>
    <dataValidation type="list" showInputMessage="1" prompt="Max. 5 Zeichen." sqref="A9:A108" xr:uid="{FA626A42-156B-0641-BBD7-90FAA5093F70}">
      <formula1>WS20ExpertCodes</formula1>
    </dataValidation>
    <dataValidation type="list" showErrorMessage="1" sqref="C9:C100" xr:uid="{C9EBDCE1-A274-9C4D-87C9-58E22713A3A7}">
      <formula1>BuildingUsageTypeSelection</formula1>
    </dataValidation>
    <dataValidation type="list" showErrorMessage="1" sqref="D9:D108" xr:uid="{B4C1FCDC-4465-FE4A-854C-D1227FD75DB5}">
      <formula1>StandardVentilationType</formula1>
    </dataValidation>
    <dataValidation type="list" allowBlank="1" showErrorMessage="1" sqref="L9:L108" xr:uid="{D585A691-F3FD-F947-96C1-52AF0A03A21C}">
      <formula1>HeatExchangerType</formula1>
    </dataValidation>
    <dataValidation type="list" allowBlank="1" showErrorMessage="1" sqref="M9:M108" xr:uid="{599AA197-257C-3444-A0F5-0A6327ED38CA}">
      <formula1>FanType</formula1>
    </dataValidation>
    <dataValidation type="list" allowBlank="1" showErrorMessage="1" sqref="U9:U108" xr:uid="{67C5F2B1-557F-1040-AC53-1C89F4C5E91A}">
      <formula1>CalculationBase_OnlyLump</formula1>
    </dataValidation>
    <dataValidation type="textLength" operator="lessThanOrEqual" allowBlank="1" showInputMessage="1" showErrorMessage="1" prompt="Max. 250 Zeichen." sqref="B9:B109" xr:uid="{87DF22CE-48AD-BA4B-A70D-D0B799CF6A5A}">
      <formula1>250</formula1>
    </dataValidation>
  </dataValidations>
  <pageMargins left="0.7" right="0.7" top="0.75" bottom="0.75" header="0.3" footer="0.3"/>
  <pageSetup paperSize="9" orientation="portrait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6683-BA83-8042-BE82-4F94573F4096}">
  <sheetPr codeName="Sheet18"/>
  <dimension ref="A1:CC43"/>
  <sheetViews>
    <sheetView zoomScaleNormal="100" workbookViewId="0"/>
  </sheetViews>
  <sheetFormatPr baseColWidth="10" defaultRowHeight="15" x14ac:dyDescent="0.2"/>
  <cols>
    <col min="1" max="256" width="8.83203125" customWidth="1"/>
  </cols>
  <sheetData>
    <row r="1" spans="1:81" ht="16" x14ac:dyDescent="0.2">
      <c r="A1" s="105" t="s">
        <v>209</v>
      </c>
      <c r="B1" s="104" t="s">
        <v>210</v>
      </c>
      <c r="C1" s="105" t="s">
        <v>211</v>
      </c>
      <c r="D1">
        <v>5</v>
      </c>
    </row>
    <row r="3" spans="1:81" x14ac:dyDescent="0.2">
      <c r="A3" t="s">
        <v>212</v>
      </c>
      <c r="B3" t="s">
        <v>218</v>
      </c>
      <c r="C3" t="s">
        <v>219</v>
      </c>
      <c r="D3" t="s">
        <v>225</v>
      </c>
      <c r="E3" t="s">
        <v>228</v>
      </c>
      <c r="F3" t="s">
        <v>234</v>
      </c>
      <c r="G3" t="s">
        <v>238</v>
      </c>
      <c r="H3" t="s">
        <v>240</v>
      </c>
      <c r="I3" t="s">
        <v>251</v>
      </c>
      <c r="J3" t="s">
        <v>256</v>
      </c>
      <c r="K3" t="s">
        <v>259</v>
      </c>
      <c r="L3" t="s">
        <v>292</v>
      </c>
      <c r="M3" t="s">
        <v>303</v>
      </c>
      <c r="N3" t="s">
        <v>308</v>
      </c>
      <c r="O3" t="s">
        <v>315</v>
      </c>
      <c r="P3" t="s">
        <v>323</v>
      </c>
      <c r="Q3" t="s">
        <v>330</v>
      </c>
      <c r="R3" t="s">
        <v>337</v>
      </c>
      <c r="S3" t="s">
        <v>339</v>
      </c>
      <c r="T3" t="s">
        <v>344</v>
      </c>
      <c r="U3" t="s">
        <v>353</v>
      </c>
      <c r="V3" t="s">
        <v>374</v>
      </c>
      <c r="W3" t="s">
        <v>382</v>
      </c>
      <c r="X3" t="s">
        <v>391</v>
      </c>
      <c r="Y3" t="s">
        <v>394</v>
      </c>
      <c r="Z3" t="s">
        <v>146</v>
      </c>
      <c r="AA3" t="s">
        <v>420</v>
      </c>
      <c r="AB3" t="s">
        <v>428</v>
      </c>
      <c r="AC3" t="s">
        <v>431</v>
      </c>
      <c r="AD3" t="s">
        <v>452</v>
      </c>
      <c r="AE3" t="s">
        <v>458</v>
      </c>
      <c r="AF3" t="s">
        <v>110</v>
      </c>
      <c r="AG3" t="s">
        <v>98</v>
      </c>
      <c r="AH3" t="s">
        <v>477</v>
      </c>
      <c r="AI3" t="s">
        <v>483</v>
      </c>
      <c r="AJ3" t="s">
        <v>504</v>
      </c>
      <c r="AK3" t="s">
        <v>185</v>
      </c>
      <c r="AL3" t="s">
        <v>527</v>
      </c>
      <c r="AM3" t="s">
        <v>537</v>
      </c>
      <c r="AN3" t="s">
        <v>542</v>
      </c>
      <c r="AO3" t="s">
        <v>546</v>
      </c>
      <c r="AP3" t="s">
        <v>100</v>
      </c>
      <c r="AQ3" t="s">
        <v>547</v>
      </c>
      <c r="AR3" t="s">
        <v>564</v>
      </c>
      <c r="AS3" t="s">
        <v>570</v>
      </c>
      <c r="AT3" t="s">
        <v>599</v>
      </c>
      <c r="AU3" t="s">
        <v>604</v>
      </c>
      <c r="AV3" t="s">
        <v>607</v>
      </c>
      <c r="AW3" t="s">
        <v>611</v>
      </c>
      <c r="AX3" t="s">
        <v>35</v>
      </c>
      <c r="AY3" t="s">
        <v>624</v>
      </c>
      <c r="AZ3" t="s">
        <v>628</v>
      </c>
      <c r="BA3" t="s">
        <v>630</v>
      </c>
      <c r="BB3" t="s">
        <v>634</v>
      </c>
      <c r="BC3" t="s">
        <v>645</v>
      </c>
      <c r="BD3" t="s">
        <v>648</v>
      </c>
      <c r="BE3" t="s">
        <v>650</v>
      </c>
      <c r="BF3" t="s">
        <v>651</v>
      </c>
      <c r="BG3" t="s">
        <v>655</v>
      </c>
      <c r="BH3" t="s">
        <v>664</v>
      </c>
      <c r="BI3" t="s">
        <v>666</v>
      </c>
      <c r="BJ3" t="s">
        <v>677</v>
      </c>
      <c r="BK3" t="s">
        <v>198</v>
      </c>
      <c r="BL3" t="s">
        <v>33</v>
      </c>
      <c r="BM3" t="s">
        <v>703</v>
      </c>
      <c r="BN3" t="s">
        <v>714</v>
      </c>
      <c r="BO3" t="s">
        <v>716</v>
      </c>
      <c r="BP3" t="s">
        <v>720</v>
      </c>
      <c r="BQ3" t="s">
        <v>731</v>
      </c>
      <c r="BR3" t="s">
        <v>734</v>
      </c>
      <c r="BS3" t="s">
        <v>745</v>
      </c>
      <c r="BT3" t="s">
        <v>20</v>
      </c>
      <c r="BU3" t="s">
        <v>759</v>
      </c>
      <c r="BV3" t="s">
        <v>131</v>
      </c>
      <c r="BW3" t="s">
        <v>17</v>
      </c>
      <c r="BX3" t="s">
        <v>776</v>
      </c>
      <c r="BY3" t="s">
        <v>787</v>
      </c>
      <c r="BZ3" t="s">
        <v>194</v>
      </c>
      <c r="CA3" t="s">
        <v>186</v>
      </c>
      <c r="CB3" t="s">
        <v>791</v>
      </c>
      <c r="CC3" t="s">
        <v>795</v>
      </c>
    </row>
    <row r="4" spans="1:81" x14ac:dyDescent="0.2">
      <c r="A4" t="s">
        <v>213</v>
      </c>
      <c r="B4" t="s">
        <v>213</v>
      </c>
      <c r="C4" t="s">
        <v>220</v>
      </c>
      <c r="D4" t="s">
        <v>226</v>
      </c>
      <c r="E4" t="s">
        <v>229</v>
      </c>
      <c r="F4" t="s">
        <v>235</v>
      </c>
      <c r="G4" t="s">
        <v>239</v>
      </c>
      <c r="H4" t="s">
        <v>241</v>
      </c>
      <c r="I4" t="s">
        <v>252</v>
      </c>
      <c r="J4" t="s">
        <v>257</v>
      </c>
      <c r="K4" t="s">
        <v>260</v>
      </c>
      <c r="L4" t="s">
        <v>260</v>
      </c>
      <c r="M4" t="s">
        <v>304</v>
      </c>
      <c r="N4" t="s">
        <v>250</v>
      </c>
      <c r="O4" t="s">
        <v>316</v>
      </c>
      <c r="P4" t="s">
        <v>239</v>
      </c>
      <c r="Q4" t="s">
        <v>331</v>
      </c>
      <c r="R4" t="s">
        <v>338</v>
      </c>
      <c r="S4" t="s">
        <v>340</v>
      </c>
      <c r="T4" t="s">
        <v>345</v>
      </c>
      <c r="U4" t="s">
        <v>354</v>
      </c>
      <c r="V4" t="s">
        <v>375</v>
      </c>
      <c r="W4" t="s">
        <v>383</v>
      </c>
      <c r="X4" t="s">
        <v>392</v>
      </c>
      <c r="Y4" t="s">
        <v>395</v>
      </c>
      <c r="Z4" t="s">
        <v>400</v>
      </c>
      <c r="AA4" t="s">
        <v>421</v>
      </c>
      <c r="AB4" t="s">
        <v>383</v>
      </c>
      <c r="AC4" t="s">
        <v>432</v>
      </c>
      <c r="AD4" t="s">
        <v>453</v>
      </c>
      <c r="AE4" t="s">
        <v>383</v>
      </c>
      <c r="AF4" t="s">
        <v>459</v>
      </c>
      <c r="AG4" t="s">
        <v>97</v>
      </c>
      <c r="AH4" t="s">
        <v>478</v>
      </c>
      <c r="AI4" t="s">
        <v>484</v>
      </c>
      <c r="AJ4" t="s">
        <v>505</v>
      </c>
      <c r="AK4" t="s">
        <v>517</v>
      </c>
      <c r="AL4" t="s">
        <v>528</v>
      </c>
      <c r="AM4" t="s">
        <v>538</v>
      </c>
      <c r="AN4" t="s">
        <v>543</v>
      </c>
      <c r="AO4" t="s">
        <v>392</v>
      </c>
      <c r="AP4" t="s">
        <v>176</v>
      </c>
      <c r="AQ4" t="s">
        <v>548</v>
      </c>
      <c r="AR4" t="s">
        <v>565</v>
      </c>
      <c r="AS4" t="s">
        <v>571</v>
      </c>
      <c r="AT4" t="s">
        <v>600</v>
      </c>
      <c r="AU4" t="s">
        <v>430</v>
      </c>
      <c r="AV4" t="s">
        <v>608</v>
      </c>
      <c r="AW4" t="s">
        <v>612</v>
      </c>
      <c r="AX4" t="s">
        <v>614</v>
      </c>
      <c r="AY4" t="s">
        <v>625</v>
      </c>
      <c r="AZ4" t="s">
        <v>250</v>
      </c>
      <c r="BA4" t="s">
        <v>631</v>
      </c>
      <c r="BB4" t="s">
        <v>635</v>
      </c>
      <c r="BC4" t="s">
        <v>646</v>
      </c>
      <c r="BD4" t="s">
        <v>605</v>
      </c>
      <c r="BE4" t="s">
        <v>176</v>
      </c>
      <c r="BF4" t="s">
        <v>652</v>
      </c>
      <c r="BG4" t="s">
        <v>656</v>
      </c>
      <c r="BH4" t="s">
        <v>652</v>
      </c>
      <c r="BI4" t="s">
        <v>667</v>
      </c>
      <c r="BJ4" t="s">
        <v>678</v>
      </c>
      <c r="BK4" t="s">
        <v>80</v>
      </c>
      <c r="BL4" t="s">
        <v>682</v>
      </c>
      <c r="BM4" t="s">
        <v>704</v>
      </c>
      <c r="BN4" t="s">
        <v>631</v>
      </c>
      <c r="BO4" t="s">
        <v>717</v>
      </c>
      <c r="BP4" t="s">
        <v>721</v>
      </c>
      <c r="BQ4" t="s">
        <v>732</v>
      </c>
      <c r="BR4" t="s">
        <v>735</v>
      </c>
      <c r="BS4" t="s">
        <v>746</v>
      </c>
      <c r="BT4" t="s">
        <v>749</v>
      </c>
      <c r="BU4" t="s">
        <v>760</v>
      </c>
      <c r="BV4" t="s">
        <v>132</v>
      </c>
      <c r="BW4" t="s">
        <v>773</v>
      </c>
      <c r="BX4" t="s">
        <v>777</v>
      </c>
      <c r="BY4" t="s">
        <v>788</v>
      </c>
      <c r="BZ4" t="s">
        <v>777</v>
      </c>
      <c r="CA4" t="s">
        <v>790</v>
      </c>
      <c r="CB4" t="s">
        <v>792</v>
      </c>
      <c r="CC4" t="s">
        <v>796</v>
      </c>
    </row>
    <row r="5" spans="1:81" x14ac:dyDescent="0.2">
      <c r="A5" t="s">
        <v>214</v>
      </c>
      <c r="B5" t="s">
        <v>214</v>
      </c>
      <c r="C5" t="s">
        <v>221</v>
      </c>
      <c r="D5" t="s">
        <v>227</v>
      </c>
      <c r="E5" t="s">
        <v>230</v>
      </c>
      <c r="F5" t="s">
        <v>236</v>
      </c>
      <c r="G5" t="s">
        <v>223</v>
      </c>
      <c r="H5" t="s">
        <v>242</v>
      </c>
      <c r="I5" t="s">
        <v>253</v>
      </c>
      <c r="J5" t="s">
        <v>258</v>
      </c>
      <c r="K5" t="s">
        <v>261</v>
      </c>
      <c r="L5" t="s">
        <v>293</v>
      </c>
      <c r="M5" t="s">
        <v>305</v>
      </c>
      <c r="N5" t="s">
        <v>309</v>
      </c>
      <c r="O5" t="s">
        <v>317</v>
      </c>
      <c r="P5" t="s">
        <v>324</v>
      </c>
      <c r="Q5" t="s">
        <v>332</v>
      </c>
      <c r="S5" t="s">
        <v>341</v>
      </c>
      <c r="T5" t="s">
        <v>346</v>
      </c>
      <c r="U5" t="s">
        <v>355</v>
      </c>
      <c r="V5" t="s">
        <v>376</v>
      </c>
      <c r="W5" t="s">
        <v>384</v>
      </c>
      <c r="X5" t="s">
        <v>393</v>
      </c>
      <c r="Y5" t="s">
        <v>396</v>
      </c>
      <c r="Z5" t="s">
        <v>401</v>
      </c>
      <c r="AA5" t="s">
        <v>422</v>
      </c>
      <c r="AB5" t="s">
        <v>384</v>
      </c>
      <c r="AC5" t="s">
        <v>433</v>
      </c>
      <c r="AD5" t="s">
        <v>454</v>
      </c>
      <c r="AE5" t="s">
        <v>384</v>
      </c>
      <c r="AF5" t="s">
        <v>460</v>
      </c>
      <c r="AG5" t="s">
        <v>95</v>
      </c>
      <c r="AH5" t="s">
        <v>479</v>
      </c>
      <c r="AI5" t="s">
        <v>485</v>
      </c>
      <c r="AJ5" t="s">
        <v>506</v>
      </c>
      <c r="AK5" t="s">
        <v>518</v>
      </c>
      <c r="AL5" t="s">
        <v>529</v>
      </c>
      <c r="AM5" t="s">
        <v>539</v>
      </c>
      <c r="AN5" t="s">
        <v>544</v>
      </c>
      <c r="AP5" t="s">
        <v>177</v>
      </c>
      <c r="AQ5" t="s">
        <v>549</v>
      </c>
      <c r="AR5" t="s">
        <v>566</v>
      </c>
      <c r="AS5" t="s">
        <v>572</v>
      </c>
      <c r="AT5" t="s">
        <v>601</v>
      </c>
      <c r="AU5" t="s">
        <v>605</v>
      </c>
      <c r="AV5" t="s">
        <v>609</v>
      </c>
      <c r="AW5" t="s">
        <v>613</v>
      </c>
      <c r="AX5" t="s">
        <v>615</v>
      </c>
      <c r="AY5" t="s">
        <v>626</v>
      </c>
      <c r="AZ5" t="s">
        <v>629</v>
      </c>
      <c r="BA5" t="s">
        <v>608</v>
      </c>
      <c r="BB5" t="s">
        <v>636</v>
      </c>
      <c r="BC5" t="s">
        <v>647</v>
      </c>
      <c r="BD5" t="s">
        <v>606</v>
      </c>
      <c r="BE5" t="s">
        <v>177</v>
      </c>
      <c r="BF5" t="s">
        <v>653</v>
      </c>
      <c r="BG5" t="s">
        <v>657</v>
      </c>
      <c r="BH5" t="s">
        <v>653</v>
      </c>
      <c r="BI5" t="s">
        <v>668</v>
      </c>
      <c r="BJ5" t="s">
        <v>679</v>
      </c>
      <c r="BK5" t="s">
        <v>31</v>
      </c>
      <c r="BL5" t="s">
        <v>683</v>
      </c>
      <c r="BM5" t="s">
        <v>705</v>
      </c>
      <c r="BN5" t="s">
        <v>608</v>
      </c>
      <c r="BO5" t="s">
        <v>718</v>
      </c>
      <c r="BP5" t="s">
        <v>722</v>
      </c>
      <c r="BQ5" t="s">
        <v>715</v>
      </c>
      <c r="BR5" t="s">
        <v>736</v>
      </c>
      <c r="BS5" t="s">
        <v>747</v>
      </c>
      <c r="BT5" t="s">
        <v>750</v>
      </c>
      <c r="BU5" t="s">
        <v>761</v>
      </c>
      <c r="BV5" t="s">
        <v>764</v>
      </c>
      <c r="BW5" t="s">
        <v>774</v>
      </c>
      <c r="BX5" t="s">
        <v>778</v>
      </c>
      <c r="BY5" t="s">
        <v>789</v>
      </c>
      <c r="BZ5" t="s">
        <v>778</v>
      </c>
      <c r="CB5" t="s">
        <v>793</v>
      </c>
      <c r="CC5" t="s">
        <v>797</v>
      </c>
    </row>
    <row r="6" spans="1:81" x14ac:dyDescent="0.2">
      <c r="A6" t="s">
        <v>215</v>
      </c>
      <c r="B6" t="s">
        <v>215</v>
      </c>
      <c r="C6" t="s">
        <v>222</v>
      </c>
      <c r="D6" t="s">
        <v>222</v>
      </c>
      <c r="E6" t="s">
        <v>221</v>
      </c>
      <c r="F6" t="s">
        <v>237</v>
      </c>
      <c r="G6" t="s">
        <v>227</v>
      </c>
      <c r="H6" t="s">
        <v>243</v>
      </c>
      <c r="I6" t="s">
        <v>254</v>
      </c>
      <c r="K6" t="s">
        <v>262</v>
      </c>
      <c r="L6" t="s">
        <v>261</v>
      </c>
      <c r="M6" t="s">
        <v>306</v>
      </c>
      <c r="N6" t="s">
        <v>310</v>
      </c>
      <c r="O6" t="s">
        <v>318</v>
      </c>
      <c r="P6" t="s">
        <v>325</v>
      </c>
      <c r="Q6" t="s">
        <v>333</v>
      </c>
      <c r="S6" t="s">
        <v>342</v>
      </c>
      <c r="T6" t="s">
        <v>347</v>
      </c>
      <c r="U6" t="s">
        <v>356</v>
      </c>
      <c r="V6" t="s">
        <v>377</v>
      </c>
      <c r="W6" t="s">
        <v>385</v>
      </c>
      <c r="Y6" t="s">
        <v>397</v>
      </c>
      <c r="Z6" t="s">
        <v>402</v>
      </c>
      <c r="AA6" t="s">
        <v>423</v>
      </c>
      <c r="AB6" t="s">
        <v>385</v>
      </c>
      <c r="AC6" t="s">
        <v>434</v>
      </c>
      <c r="AD6" t="s">
        <v>455</v>
      </c>
      <c r="AE6" t="s">
        <v>385</v>
      </c>
      <c r="AF6" t="s">
        <v>461</v>
      </c>
      <c r="AG6" t="s">
        <v>94</v>
      </c>
      <c r="AH6" t="s">
        <v>379</v>
      </c>
      <c r="AI6" t="s">
        <v>486</v>
      </c>
      <c r="AJ6" t="s">
        <v>507</v>
      </c>
      <c r="AK6" t="s">
        <v>519</v>
      </c>
      <c r="AL6" t="s">
        <v>530</v>
      </c>
      <c r="AM6" t="s">
        <v>540</v>
      </c>
      <c r="AN6" t="s">
        <v>545</v>
      </c>
      <c r="AP6" t="s">
        <v>178</v>
      </c>
      <c r="AQ6" t="s">
        <v>550</v>
      </c>
      <c r="AR6" t="s">
        <v>567</v>
      </c>
      <c r="AS6" t="s">
        <v>573</v>
      </c>
      <c r="AT6" t="s">
        <v>602</v>
      </c>
      <c r="AU6" t="s">
        <v>606</v>
      </c>
      <c r="AV6" t="s">
        <v>610</v>
      </c>
      <c r="AX6" t="s">
        <v>616</v>
      </c>
      <c r="AY6" t="s">
        <v>627</v>
      </c>
      <c r="BA6" t="s">
        <v>632</v>
      </c>
      <c r="BB6" t="s">
        <v>637</v>
      </c>
      <c r="BD6" t="s">
        <v>649</v>
      </c>
      <c r="BE6" t="s">
        <v>178</v>
      </c>
      <c r="BF6" t="s">
        <v>654</v>
      </c>
      <c r="BG6" t="s">
        <v>658</v>
      </c>
      <c r="BH6" t="s">
        <v>665</v>
      </c>
      <c r="BI6" t="s">
        <v>669</v>
      </c>
      <c r="BJ6" t="s">
        <v>680</v>
      </c>
      <c r="BK6" t="s">
        <v>78</v>
      </c>
      <c r="BL6" t="s">
        <v>684</v>
      </c>
      <c r="BM6" t="s">
        <v>706</v>
      </c>
      <c r="BN6" t="s">
        <v>715</v>
      </c>
      <c r="BP6" t="s">
        <v>723</v>
      </c>
      <c r="BQ6" t="s">
        <v>733</v>
      </c>
      <c r="BR6" t="s">
        <v>737</v>
      </c>
      <c r="BS6" t="s">
        <v>715</v>
      </c>
      <c r="BT6" t="s">
        <v>751</v>
      </c>
      <c r="BU6" t="s">
        <v>762</v>
      </c>
      <c r="BV6" t="s">
        <v>765</v>
      </c>
      <c r="BX6" t="s">
        <v>779</v>
      </c>
      <c r="BZ6" t="s">
        <v>779</v>
      </c>
      <c r="CB6" t="s">
        <v>794</v>
      </c>
    </row>
    <row r="7" spans="1:81" x14ac:dyDescent="0.2">
      <c r="A7" t="s">
        <v>216</v>
      </c>
      <c r="B7" t="s">
        <v>216</v>
      </c>
      <c r="C7" t="s">
        <v>223</v>
      </c>
      <c r="D7" t="s">
        <v>217</v>
      </c>
      <c r="E7" t="s">
        <v>226</v>
      </c>
      <c r="F7" t="s">
        <v>223</v>
      </c>
      <c r="G7" t="s">
        <v>222</v>
      </c>
      <c r="H7" t="s">
        <v>244</v>
      </c>
      <c r="I7" t="s">
        <v>255</v>
      </c>
      <c r="K7" t="s">
        <v>263</v>
      </c>
      <c r="L7" t="s">
        <v>262</v>
      </c>
      <c r="M7" t="s">
        <v>307</v>
      </c>
      <c r="N7" t="s">
        <v>311</v>
      </c>
      <c r="O7" t="s">
        <v>319</v>
      </c>
      <c r="P7" t="s">
        <v>326</v>
      </c>
      <c r="Q7" t="s">
        <v>334</v>
      </c>
      <c r="T7" t="s">
        <v>348</v>
      </c>
      <c r="U7" t="s">
        <v>357</v>
      </c>
      <c r="V7" t="s">
        <v>378</v>
      </c>
      <c r="W7" t="s">
        <v>386</v>
      </c>
      <c r="Y7" t="s">
        <v>398</v>
      </c>
      <c r="Z7" t="s">
        <v>403</v>
      </c>
      <c r="AA7" t="s">
        <v>424</v>
      </c>
      <c r="AB7" t="s">
        <v>386</v>
      </c>
      <c r="AC7" t="s">
        <v>435</v>
      </c>
      <c r="AD7" t="s">
        <v>456</v>
      </c>
      <c r="AE7" t="s">
        <v>386</v>
      </c>
      <c r="AG7" t="s">
        <v>93</v>
      </c>
      <c r="AH7" t="s">
        <v>380</v>
      </c>
      <c r="AI7" t="s">
        <v>487</v>
      </c>
      <c r="AJ7" t="s">
        <v>508</v>
      </c>
      <c r="AK7" t="s">
        <v>520</v>
      </c>
      <c r="AL7" t="s">
        <v>531</v>
      </c>
      <c r="AM7" t="s">
        <v>541</v>
      </c>
      <c r="AP7" t="s">
        <v>179</v>
      </c>
      <c r="AQ7" t="s">
        <v>551</v>
      </c>
      <c r="AR7" t="s">
        <v>568</v>
      </c>
      <c r="AS7" t="s">
        <v>574</v>
      </c>
      <c r="AT7" t="s">
        <v>603</v>
      </c>
      <c r="AX7" t="s">
        <v>617</v>
      </c>
      <c r="BA7" t="s">
        <v>633</v>
      </c>
      <c r="BB7" t="s">
        <v>638</v>
      </c>
      <c r="BE7" t="s">
        <v>179</v>
      </c>
      <c r="BG7" t="s">
        <v>659</v>
      </c>
      <c r="BI7" t="s">
        <v>670</v>
      </c>
      <c r="BK7" t="s">
        <v>77</v>
      </c>
      <c r="BL7" t="s">
        <v>685</v>
      </c>
      <c r="BM7" t="s">
        <v>707</v>
      </c>
      <c r="BN7" t="s">
        <v>610</v>
      </c>
      <c r="BP7" t="s">
        <v>724</v>
      </c>
      <c r="BR7" t="s">
        <v>738</v>
      </c>
      <c r="BS7" t="s">
        <v>748</v>
      </c>
      <c r="BT7" t="s">
        <v>752</v>
      </c>
      <c r="BU7" t="s">
        <v>763</v>
      </c>
      <c r="BV7" t="s">
        <v>766</v>
      </c>
      <c r="BX7" t="s">
        <v>780</v>
      </c>
      <c r="BZ7" t="s">
        <v>780</v>
      </c>
    </row>
    <row r="8" spans="1:81" x14ac:dyDescent="0.2">
      <c r="A8" t="s">
        <v>217</v>
      </c>
      <c r="B8" t="s">
        <v>217</v>
      </c>
      <c r="C8" t="s">
        <v>214</v>
      </c>
      <c r="E8" t="s">
        <v>231</v>
      </c>
      <c r="F8" t="s">
        <v>227</v>
      </c>
      <c r="G8" t="s">
        <v>232</v>
      </c>
      <c r="H8" t="s">
        <v>245</v>
      </c>
      <c r="K8" t="s">
        <v>264</v>
      </c>
      <c r="L8" t="s">
        <v>263</v>
      </c>
      <c r="N8" t="s">
        <v>312</v>
      </c>
      <c r="O8" t="s">
        <v>320</v>
      </c>
      <c r="P8" t="s">
        <v>327</v>
      </c>
      <c r="Q8" t="s">
        <v>335</v>
      </c>
      <c r="U8" t="s">
        <v>358</v>
      </c>
      <c r="V8" t="s">
        <v>379</v>
      </c>
      <c r="W8" t="s">
        <v>387</v>
      </c>
      <c r="Y8" t="s">
        <v>399</v>
      </c>
      <c r="Z8" t="s">
        <v>404</v>
      </c>
      <c r="AA8" t="s">
        <v>425</v>
      </c>
      <c r="AB8" t="s">
        <v>387</v>
      </c>
      <c r="AC8" t="s">
        <v>436</v>
      </c>
      <c r="AD8" t="s">
        <v>457</v>
      </c>
      <c r="AE8" t="s">
        <v>387</v>
      </c>
      <c r="AG8" t="s">
        <v>101</v>
      </c>
      <c r="AH8" t="s">
        <v>378</v>
      </c>
      <c r="AI8" t="s">
        <v>488</v>
      </c>
      <c r="AJ8" t="s">
        <v>509</v>
      </c>
      <c r="AK8" t="s">
        <v>521</v>
      </c>
      <c r="AL8" t="s">
        <v>532</v>
      </c>
      <c r="AP8" t="s">
        <v>180</v>
      </c>
      <c r="AQ8" t="s">
        <v>552</v>
      </c>
      <c r="AR8" t="s">
        <v>569</v>
      </c>
      <c r="AS8" t="s">
        <v>575</v>
      </c>
      <c r="AX8" t="s">
        <v>618</v>
      </c>
      <c r="BB8" t="s">
        <v>639</v>
      </c>
      <c r="BE8" t="s">
        <v>180</v>
      </c>
      <c r="BG8" t="s">
        <v>660</v>
      </c>
      <c r="BI8" t="s">
        <v>671</v>
      </c>
      <c r="BK8" t="s">
        <v>76</v>
      </c>
      <c r="BL8" t="s">
        <v>686</v>
      </c>
      <c r="BM8" t="s">
        <v>708</v>
      </c>
      <c r="BP8" t="s">
        <v>725</v>
      </c>
      <c r="BR8" t="s">
        <v>739</v>
      </c>
      <c r="BT8" t="s">
        <v>753</v>
      </c>
      <c r="BV8" t="s">
        <v>767</v>
      </c>
      <c r="BX8" t="s">
        <v>781</v>
      </c>
      <c r="BZ8" t="s">
        <v>781</v>
      </c>
    </row>
    <row r="9" spans="1:81" x14ac:dyDescent="0.2">
      <c r="C9" t="s">
        <v>224</v>
      </c>
      <c r="E9" t="s">
        <v>232</v>
      </c>
      <c r="F9" t="s">
        <v>214</v>
      </c>
      <c r="H9" t="s">
        <v>246</v>
      </c>
      <c r="K9" t="s">
        <v>265</v>
      </c>
      <c r="L9" t="s">
        <v>264</v>
      </c>
      <c r="N9" t="s">
        <v>313</v>
      </c>
      <c r="O9" t="s">
        <v>321</v>
      </c>
      <c r="P9" t="s">
        <v>328</v>
      </c>
      <c r="Q9" t="s">
        <v>336</v>
      </c>
      <c r="U9" t="s">
        <v>359</v>
      </c>
      <c r="V9" t="s">
        <v>380</v>
      </c>
      <c r="W9" t="s">
        <v>388</v>
      </c>
      <c r="Z9" t="s">
        <v>405</v>
      </c>
      <c r="AA9" t="s">
        <v>426</v>
      </c>
      <c r="AB9" t="s">
        <v>388</v>
      </c>
      <c r="AC9" t="s">
        <v>437</v>
      </c>
      <c r="AE9" t="s">
        <v>388</v>
      </c>
      <c r="AG9" t="s">
        <v>462</v>
      </c>
      <c r="AH9" t="s">
        <v>480</v>
      </c>
      <c r="AI9" t="s">
        <v>489</v>
      </c>
      <c r="AJ9" t="s">
        <v>510</v>
      </c>
      <c r="AK9" t="s">
        <v>522</v>
      </c>
      <c r="AL9" t="s">
        <v>533</v>
      </c>
      <c r="AQ9" t="s">
        <v>553</v>
      </c>
      <c r="AS9" t="s">
        <v>576</v>
      </c>
      <c r="AX9" t="s">
        <v>619</v>
      </c>
      <c r="BB9" t="s">
        <v>640</v>
      </c>
      <c r="BE9" t="s">
        <v>250</v>
      </c>
      <c r="BG9" t="s">
        <v>661</v>
      </c>
      <c r="BI9" t="s">
        <v>672</v>
      </c>
      <c r="BK9" t="s">
        <v>75</v>
      </c>
      <c r="BL9" t="s">
        <v>687</v>
      </c>
      <c r="BM9" t="s">
        <v>709</v>
      </c>
      <c r="BP9" t="s">
        <v>726</v>
      </c>
      <c r="BR9" t="s">
        <v>740</v>
      </c>
      <c r="BT9" t="s">
        <v>754</v>
      </c>
      <c r="BV9" t="s">
        <v>768</v>
      </c>
      <c r="BX9" t="s">
        <v>782</v>
      </c>
      <c r="BZ9" t="s">
        <v>782</v>
      </c>
    </row>
    <row r="10" spans="1:81" x14ac:dyDescent="0.2">
      <c r="C10" t="s">
        <v>217</v>
      </c>
      <c r="E10" t="s">
        <v>227</v>
      </c>
      <c r="F10" t="s">
        <v>222</v>
      </c>
      <c r="H10" t="s">
        <v>247</v>
      </c>
      <c r="K10" t="s">
        <v>266</v>
      </c>
      <c r="L10" t="s">
        <v>265</v>
      </c>
      <c r="N10" t="s">
        <v>314</v>
      </c>
      <c r="O10" t="s">
        <v>322</v>
      </c>
      <c r="P10" t="s">
        <v>329</v>
      </c>
      <c r="U10" t="s">
        <v>360</v>
      </c>
      <c r="V10" t="s">
        <v>381</v>
      </c>
      <c r="W10" t="s">
        <v>389</v>
      </c>
      <c r="Z10" t="s">
        <v>406</v>
      </c>
      <c r="AA10" t="s">
        <v>427</v>
      </c>
      <c r="AB10" t="s">
        <v>389</v>
      </c>
      <c r="AC10" t="s">
        <v>438</v>
      </c>
      <c r="AE10" t="s">
        <v>389</v>
      </c>
      <c r="AG10" t="s">
        <v>463</v>
      </c>
      <c r="AH10" t="s">
        <v>481</v>
      </c>
      <c r="AI10" t="s">
        <v>490</v>
      </c>
      <c r="AJ10" t="s">
        <v>511</v>
      </c>
      <c r="AK10" t="s">
        <v>523</v>
      </c>
      <c r="AL10" t="s">
        <v>534</v>
      </c>
      <c r="AQ10" t="s">
        <v>554</v>
      </c>
      <c r="AS10" t="s">
        <v>577</v>
      </c>
      <c r="AX10" t="s">
        <v>620</v>
      </c>
      <c r="BB10" t="s">
        <v>641</v>
      </c>
      <c r="BG10" t="s">
        <v>662</v>
      </c>
      <c r="BI10" t="s">
        <v>673</v>
      </c>
      <c r="BK10" t="s">
        <v>74</v>
      </c>
      <c r="BL10" t="s">
        <v>688</v>
      </c>
      <c r="BM10" t="s">
        <v>710</v>
      </c>
      <c r="BP10" t="s">
        <v>727</v>
      </c>
      <c r="BR10" t="s">
        <v>741</v>
      </c>
      <c r="BT10" t="s">
        <v>755</v>
      </c>
      <c r="BV10" t="s">
        <v>769</v>
      </c>
      <c r="BX10" t="s">
        <v>783</v>
      </c>
      <c r="BZ10" t="s">
        <v>783</v>
      </c>
    </row>
    <row r="11" spans="1:81" x14ac:dyDescent="0.2">
      <c r="E11" t="s">
        <v>233</v>
      </c>
      <c r="F11" t="s">
        <v>232</v>
      </c>
      <c r="H11" t="s">
        <v>248</v>
      </c>
      <c r="K11" t="s">
        <v>267</v>
      </c>
      <c r="L11" t="s">
        <v>266</v>
      </c>
      <c r="N11" t="s">
        <v>239</v>
      </c>
      <c r="U11" t="s">
        <v>361</v>
      </c>
      <c r="W11" t="s">
        <v>390</v>
      </c>
      <c r="Z11" t="s">
        <v>407</v>
      </c>
      <c r="AB11" t="s">
        <v>390</v>
      </c>
      <c r="AC11" t="s">
        <v>439</v>
      </c>
      <c r="AE11" t="s">
        <v>390</v>
      </c>
      <c r="AG11" t="s">
        <v>464</v>
      </c>
      <c r="AH11" t="s">
        <v>482</v>
      </c>
      <c r="AI11" t="s">
        <v>491</v>
      </c>
      <c r="AJ11" t="s">
        <v>512</v>
      </c>
      <c r="AK11" t="s">
        <v>524</v>
      </c>
      <c r="AL11" t="s">
        <v>535</v>
      </c>
      <c r="AQ11" t="s">
        <v>555</v>
      </c>
      <c r="AS11" t="s">
        <v>578</v>
      </c>
      <c r="AX11" t="s">
        <v>621</v>
      </c>
      <c r="BB11" t="s">
        <v>642</v>
      </c>
      <c r="BG11" t="s">
        <v>663</v>
      </c>
      <c r="BI11" t="s">
        <v>674</v>
      </c>
      <c r="BK11" t="s">
        <v>681</v>
      </c>
      <c r="BL11" t="s">
        <v>689</v>
      </c>
      <c r="BM11" t="s">
        <v>711</v>
      </c>
      <c r="BP11" t="s">
        <v>728</v>
      </c>
      <c r="BR11" t="s">
        <v>742</v>
      </c>
      <c r="BT11" t="s">
        <v>756</v>
      </c>
      <c r="BV11" t="s">
        <v>770</v>
      </c>
      <c r="BX11" t="s">
        <v>784</v>
      </c>
      <c r="BZ11" t="s">
        <v>784</v>
      </c>
    </row>
    <row r="12" spans="1:81" x14ac:dyDescent="0.2">
      <c r="E12" t="s">
        <v>222</v>
      </c>
      <c r="H12" t="s">
        <v>249</v>
      </c>
      <c r="K12" t="s">
        <v>268</v>
      </c>
      <c r="L12" t="s">
        <v>267</v>
      </c>
      <c r="U12" t="s">
        <v>362</v>
      </c>
      <c r="Z12" t="s">
        <v>408</v>
      </c>
      <c r="AB12" t="s">
        <v>429</v>
      </c>
      <c r="AC12" t="s">
        <v>440</v>
      </c>
      <c r="AE12" t="s">
        <v>429</v>
      </c>
      <c r="AG12" t="s">
        <v>465</v>
      </c>
      <c r="AI12" t="s">
        <v>492</v>
      </c>
      <c r="AJ12" t="s">
        <v>513</v>
      </c>
      <c r="AK12" t="s">
        <v>525</v>
      </c>
      <c r="AL12" t="s">
        <v>536</v>
      </c>
      <c r="AQ12" t="s">
        <v>556</v>
      </c>
      <c r="AS12" t="s">
        <v>579</v>
      </c>
      <c r="AX12" t="s">
        <v>622</v>
      </c>
      <c r="BB12" t="s">
        <v>643</v>
      </c>
      <c r="BI12" t="s">
        <v>675</v>
      </c>
      <c r="BL12" t="s">
        <v>690</v>
      </c>
      <c r="BM12" t="s">
        <v>712</v>
      </c>
      <c r="BP12" t="s">
        <v>729</v>
      </c>
      <c r="BR12" t="s">
        <v>743</v>
      </c>
      <c r="BT12" t="s">
        <v>757</v>
      </c>
      <c r="BV12" t="s">
        <v>771</v>
      </c>
      <c r="BX12" t="s">
        <v>785</v>
      </c>
      <c r="BZ12" t="s">
        <v>785</v>
      </c>
    </row>
    <row r="13" spans="1:81" x14ac:dyDescent="0.2">
      <c r="E13" t="s">
        <v>217</v>
      </c>
      <c r="H13" t="s">
        <v>250</v>
      </c>
      <c r="K13" t="s">
        <v>269</v>
      </c>
      <c r="L13" t="s">
        <v>268</v>
      </c>
      <c r="U13" t="s">
        <v>363</v>
      </c>
      <c r="Z13" t="s">
        <v>409</v>
      </c>
      <c r="AB13" t="s">
        <v>430</v>
      </c>
      <c r="AC13" t="s">
        <v>441</v>
      </c>
      <c r="AG13" t="s">
        <v>466</v>
      </c>
      <c r="AI13" t="s">
        <v>493</v>
      </c>
      <c r="AJ13" t="s">
        <v>514</v>
      </c>
      <c r="AK13" t="s">
        <v>526</v>
      </c>
      <c r="AQ13" t="s">
        <v>557</v>
      </c>
      <c r="AS13" t="s">
        <v>580</v>
      </c>
      <c r="AX13" t="s">
        <v>623</v>
      </c>
      <c r="BB13" t="s">
        <v>644</v>
      </c>
      <c r="BI13" t="s">
        <v>676</v>
      </c>
      <c r="BL13" t="s">
        <v>691</v>
      </c>
      <c r="BM13" t="s">
        <v>713</v>
      </c>
      <c r="BP13" t="s">
        <v>730</v>
      </c>
      <c r="BR13" t="s">
        <v>744</v>
      </c>
      <c r="BT13" t="s">
        <v>758</v>
      </c>
      <c r="BV13" t="s">
        <v>772</v>
      </c>
      <c r="BX13" t="s">
        <v>786</v>
      </c>
      <c r="BZ13" t="s">
        <v>786</v>
      </c>
    </row>
    <row r="14" spans="1:81" x14ac:dyDescent="0.2">
      <c r="K14" t="s">
        <v>270</v>
      </c>
      <c r="L14" t="s">
        <v>269</v>
      </c>
      <c r="U14" t="s">
        <v>364</v>
      </c>
      <c r="Z14" t="s">
        <v>410</v>
      </c>
      <c r="AC14" t="s">
        <v>442</v>
      </c>
      <c r="AG14" t="s">
        <v>467</v>
      </c>
      <c r="AI14" t="s">
        <v>494</v>
      </c>
      <c r="AJ14" t="s">
        <v>515</v>
      </c>
      <c r="AQ14" t="s">
        <v>558</v>
      </c>
      <c r="AS14" t="s">
        <v>581</v>
      </c>
      <c r="BL14" t="s">
        <v>692</v>
      </c>
    </row>
    <row r="15" spans="1:81" x14ac:dyDescent="0.2">
      <c r="K15" t="s">
        <v>271</v>
      </c>
      <c r="L15" t="s">
        <v>270</v>
      </c>
      <c r="U15" t="s">
        <v>365</v>
      </c>
      <c r="Z15" t="s">
        <v>411</v>
      </c>
      <c r="AC15" t="s">
        <v>443</v>
      </c>
      <c r="AG15" t="s">
        <v>468</v>
      </c>
      <c r="AI15" t="s">
        <v>495</v>
      </c>
      <c r="AJ15" t="s">
        <v>516</v>
      </c>
      <c r="AQ15" t="s">
        <v>559</v>
      </c>
      <c r="AS15" t="s">
        <v>582</v>
      </c>
      <c r="BL15" t="s">
        <v>693</v>
      </c>
    </row>
    <row r="16" spans="1:81" x14ac:dyDescent="0.2">
      <c r="K16" t="s">
        <v>272</v>
      </c>
      <c r="L16" t="s">
        <v>271</v>
      </c>
      <c r="U16" t="s">
        <v>366</v>
      </c>
      <c r="Z16" t="s">
        <v>412</v>
      </c>
      <c r="AC16" t="s">
        <v>444</v>
      </c>
      <c r="AG16" t="s">
        <v>469</v>
      </c>
      <c r="AI16" t="s">
        <v>496</v>
      </c>
      <c r="AQ16" t="s">
        <v>560</v>
      </c>
      <c r="AS16" t="s">
        <v>583</v>
      </c>
      <c r="BL16" t="s">
        <v>694</v>
      </c>
    </row>
    <row r="17" spans="11:64" x14ac:dyDescent="0.2">
      <c r="K17" t="s">
        <v>273</v>
      </c>
      <c r="L17" t="s">
        <v>272</v>
      </c>
      <c r="U17" t="s">
        <v>367</v>
      </c>
      <c r="Z17" t="s">
        <v>413</v>
      </c>
      <c r="AC17" t="s">
        <v>445</v>
      </c>
      <c r="AG17" t="s">
        <v>470</v>
      </c>
      <c r="AI17" t="s">
        <v>497</v>
      </c>
      <c r="AQ17" t="s">
        <v>561</v>
      </c>
      <c r="AS17" t="s">
        <v>584</v>
      </c>
      <c r="BL17" t="s">
        <v>695</v>
      </c>
    </row>
    <row r="18" spans="11:64" x14ac:dyDescent="0.2">
      <c r="K18" t="s">
        <v>274</v>
      </c>
      <c r="L18" t="s">
        <v>294</v>
      </c>
      <c r="U18" t="s">
        <v>368</v>
      </c>
      <c r="Z18" t="s">
        <v>414</v>
      </c>
      <c r="AC18" t="s">
        <v>446</v>
      </c>
      <c r="AG18" t="s">
        <v>471</v>
      </c>
      <c r="AI18" t="s">
        <v>498</v>
      </c>
      <c r="AQ18" t="s">
        <v>562</v>
      </c>
      <c r="AS18" t="s">
        <v>585</v>
      </c>
      <c r="BL18" t="s">
        <v>696</v>
      </c>
    </row>
    <row r="19" spans="11:64" x14ac:dyDescent="0.2">
      <c r="K19" t="s">
        <v>275</v>
      </c>
      <c r="L19" t="s">
        <v>273</v>
      </c>
      <c r="U19" t="s">
        <v>369</v>
      </c>
      <c r="Z19" t="s">
        <v>415</v>
      </c>
      <c r="AC19" t="s">
        <v>447</v>
      </c>
      <c r="AG19" t="s">
        <v>472</v>
      </c>
      <c r="AI19" t="s">
        <v>499</v>
      </c>
      <c r="AQ19" t="s">
        <v>563</v>
      </c>
      <c r="AS19" t="s">
        <v>586</v>
      </c>
      <c r="BL19" t="s">
        <v>697</v>
      </c>
    </row>
    <row r="20" spans="11:64" x14ac:dyDescent="0.2">
      <c r="K20" t="s">
        <v>276</v>
      </c>
      <c r="L20" t="s">
        <v>295</v>
      </c>
      <c r="U20" t="s">
        <v>370</v>
      </c>
      <c r="Z20" t="s">
        <v>416</v>
      </c>
      <c r="AC20" t="s">
        <v>448</v>
      </c>
      <c r="AG20" t="s">
        <v>473</v>
      </c>
      <c r="AI20" t="s">
        <v>500</v>
      </c>
      <c r="AS20" t="s">
        <v>587</v>
      </c>
      <c r="BL20" t="s">
        <v>698</v>
      </c>
    </row>
    <row r="21" spans="11:64" x14ac:dyDescent="0.2">
      <c r="K21" t="s">
        <v>277</v>
      </c>
      <c r="L21" t="s">
        <v>274</v>
      </c>
      <c r="U21" t="s">
        <v>371</v>
      </c>
      <c r="Z21" t="s">
        <v>417</v>
      </c>
      <c r="AC21" t="s">
        <v>449</v>
      </c>
      <c r="AG21" t="s">
        <v>474</v>
      </c>
      <c r="AI21" t="s">
        <v>501</v>
      </c>
      <c r="AS21" t="s">
        <v>588</v>
      </c>
      <c r="BL21" t="s">
        <v>699</v>
      </c>
    </row>
    <row r="22" spans="11:64" x14ac:dyDescent="0.2">
      <c r="K22" t="s">
        <v>278</v>
      </c>
      <c r="L22" t="s">
        <v>275</v>
      </c>
      <c r="U22" t="s">
        <v>372</v>
      </c>
      <c r="Z22" t="s">
        <v>418</v>
      </c>
      <c r="AC22" t="s">
        <v>450</v>
      </c>
      <c r="AG22" t="s">
        <v>475</v>
      </c>
      <c r="AI22" t="s">
        <v>502</v>
      </c>
      <c r="AS22" t="s">
        <v>589</v>
      </c>
      <c r="BL22" t="s">
        <v>700</v>
      </c>
    </row>
    <row r="23" spans="11:64" x14ac:dyDescent="0.2">
      <c r="K23" t="s">
        <v>279</v>
      </c>
      <c r="L23" t="s">
        <v>276</v>
      </c>
      <c r="U23" t="s">
        <v>373</v>
      </c>
      <c r="Z23" t="s">
        <v>419</v>
      </c>
      <c r="AC23" t="s">
        <v>451</v>
      </c>
      <c r="AG23" t="s">
        <v>476</v>
      </c>
      <c r="AI23" t="s">
        <v>503</v>
      </c>
      <c r="AS23" t="s">
        <v>590</v>
      </c>
      <c r="BL23" t="s">
        <v>701</v>
      </c>
    </row>
    <row r="24" spans="11:64" x14ac:dyDescent="0.2">
      <c r="K24" t="s">
        <v>280</v>
      </c>
      <c r="L24" t="s">
        <v>277</v>
      </c>
      <c r="AS24" t="s">
        <v>591</v>
      </c>
      <c r="BL24" t="s">
        <v>702</v>
      </c>
    </row>
    <row r="25" spans="11:64" x14ac:dyDescent="0.2">
      <c r="K25" t="s">
        <v>281</v>
      </c>
      <c r="L25" t="s">
        <v>278</v>
      </c>
      <c r="AS25" t="s">
        <v>592</v>
      </c>
    </row>
    <row r="26" spans="11:64" x14ac:dyDescent="0.2">
      <c r="K26" t="s">
        <v>282</v>
      </c>
      <c r="L26" t="s">
        <v>279</v>
      </c>
      <c r="AS26" t="s">
        <v>593</v>
      </c>
    </row>
    <row r="27" spans="11:64" x14ac:dyDescent="0.2">
      <c r="K27" t="s">
        <v>283</v>
      </c>
      <c r="L27" t="s">
        <v>280</v>
      </c>
      <c r="AS27" t="s">
        <v>594</v>
      </c>
    </row>
    <row r="28" spans="11:64" x14ac:dyDescent="0.2">
      <c r="K28" t="s">
        <v>284</v>
      </c>
      <c r="L28" t="s">
        <v>296</v>
      </c>
      <c r="AS28" t="s">
        <v>595</v>
      </c>
    </row>
    <row r="29" spans="11:64" x14ac:dyDescent="0.2">
      <c r="K29" t="s">
        <v>285</v>
      </c>
      <c r="L29" t="s">
        <v>297</v>
      </c>
      <c r="AS29" t="s">
        <v>596</v>
      </c>
    </row>
    <row r="30" spans="11:64" x14ac:dyDescent="0.2">
      <c r="K30" t="s">
        <v>286</v>
      </c>
      <c r="L30" t="s">
        <v>281</v>
      </c>
      <c r="AS30" t="s">
        <v>597</v>
      </c>
    </row>
    <row r="31" spans="11:64" x14ac:dyDescent="0.2">
      <c r="K31" t="s">
        <v>287</v>
      </c>
      <c r="L31" t="s">
        <v>298</v>
      </c>
      <c r="AS31" t="s">
        <v>598</v>
      </c>
    </row>
    <row r="32" spans="11:64" x14ac:dyDescent="0.2">
      <c r="K32" t="s">
        <v>288</v>
      </c>
      <c r="L32" t="s">
        <v>282</v>
      </c>
    </row>
    <row r="33" spans="11:12" x14ac:dyDescent="0.2">
      <c r="K33" t="s">
        <v>289</v>
      </c>
      <c r="L33" t="s">
        <v>283</v>
      </c>
    </row>
    <row r="34" spans="11:12" x14ac:dyDescent="0.2">
      <c r="K34" t="s">
        <v>290</v>
      </c>
      <c r="L34" t="s">
        <v>284</v>
      </c>
    </row>
    <row r="35" spans="11:12" x14ac:dyDescent="0.2">
      <c r="K35" t="s">
        <v>291</v>
      </c>
      <c r="L35" t="s">
        <v>285</v>
      </c>
    </row>
    <row r="36" spans="11:12" x14ac:dyDescent="0.2">
      <c r="L36" t="s">
        <v>286</v>
      </c>
    </row>
    <row r="37" spans="11:12" x14ac:dyDescent="0.2">
      <c r="L37" t="s">
        <v>287</v>
      </c>
    </row>
    <row r="38" spans="11:12" x14ac:dyDescent="0.2">
      <c r="L38" t="s">
        <v>299</v>
      </c>
    </row>
    <row r="39" spans="11:12" x14ac:dyDescent="0.2">
      <c r="L39" t="s">
        <v>288</v>
      </c>
    </row>
    <row r="40" spans="11:12" x14ac:dyDescent="0.2">
      <c r="L40" t="s">
        <v>289</v>
      </c>
    </row>
    <row r="41" spans="11:12" x14ac:dyDescent="0.2">
      <c r="L41" t="s">
        <v>290</v>
      </c>
    </row>
    <row r="42" spans="11:12" x14ac:dyDescent="0.2">
      <c r="L42" t="s">
        <v>300</v>
      </c>
    </row>
    <row r="43" spans="11:12" x14ac:dyDescent="0.2">
      <c r="L43" t="s">
        <v>291</v>
      </c>
    </row>
  </sheetData>
  <conditionalFormatting sqref="B1">
    <cfRule type="containsBlanks" dxfId="1" priority="2">
      <formula>LEN(TRIM(B1))=0</formula>
    </cfRule>
  </conditionalFormatting>
  <conditionalFormatting sqref="D1">
    <cfRule type="containsBlanks" dxfId="0" priority="1">
      <formula>LEN(TRIM(D1))=0</formula>
    </cfRule>
  </conditionalFormatting>
  <pageMargins left="0.7" right="0.7" top="0.75" bottom="0.75" header="0.3" footer="0.3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AB14-DC03-4248-8A5F-A94CACFD3714}">
  <dimension ref="A1:B200"/>
  <sheetViews>
    <sheetView zoomScaleNormal="100" workbookViewId="0"/>
  </sheetViews>
  <sheetFormatPr baseColWidth="10" defaultRowHeight="15" x14ac:dyDescent="0.2"/>
  <cols>
    <col min="1" max="1" width="8.83203125" customWidth="1"/>
    <col min="2" max="2" width="13.83203125" customWidth="1"/>
    <col min="3" max="256" width="8.83203125" customWidth="1"/>
  </cols>
  <sheetData>
    <row r="1" spans="1:2" x14ac:dyDescent="0.2">
      <c r="A1" s="66" t="str">
        <f>IF(AND('Dächer und Decken'!A11&lt;&gt;"",LEN('Dächer und Decken'!A11)&lt;10),'Dächer und Decken'!A11,"")</f>
        <v/>
      </c>
      <c r="B1" t="str">
        <f t="array" ref="B1">IF(ROWS(B$1:B1)&gt;SUMPRODUCT(--(A:A&lt;&gt;"")),"",INDEX(A:A,SMALL(IF(A$1:A$200&lt;&gt;"",ROW(A$1:A$200)),ROWS(B$1:B1))))</f>
        <v/>
      </c>
    </row>
    <row r="2" spans="1:2" x14ac:dyDescent="0.2">
      <c r="A2" s="66" t="str">
        <f>IF(AND('Dächer und Decken'!A12&lt;&gt;"",LEN('Dächer und Decken'!A12)&lt;10),'Dächer und Decken'!A12,"")</f>
        <v/>
      </c>
      <c r="B2" s="66" t="str">
        <f t="array" ref="B2">IF(ROWS(B$1:B2)&gt;SUMPRODUCT(--(A:A&lt;&gt;"")),"",INDEX(A:A,SMALL(IF(A$1:A$200&lt;&gt;"",ROW(A$1:A$200)),ROWS(B$1:B2))))</f>
        <v/>
      </c>
    </row>
    <row r="3" spans="1:2" x14ac:dyDescent="0.2">
      <c r="A3" s="66" t="str">
        <f>IF(AND('Dächer und Decken'!A13&lt;&gt;"",LEN('Dächer und Decken'!A13)&lt;10),'Dächer und Decken'!A13,"")</f>
        <v/>
      </c>
      <c r="B3" s="66" t="str">
        <f t="array" ref="B3">IF(ROWS(B$1:B3)&gt;SUMPRODUCT(--(A:A&lt;&gt;"")),"",INDEX(A:A,SMALL(IF(A$1:A$200&lt;&gt;"",ROW(A$1:A$200)),ROWS(B$1:B3))))</f>
        <v/>
      </c>
    </row>
    <row r="4" spans="1:2" x14ac:dyDescent="0.2">
      <c r="A4" s="66" t="str">
        <f>IF(AND('Dächer und Decken'!A14&lt;&gt;"",LEN('Dächer und Decken'!A14)&lt;10),'Dächer und Decken'!A14,"")</f>
        <v/>
      </c>
      <c r="B4" s="66" t="str">
        <f t="array" ref="B4">IF(ROWS(B$1:B4)&gt;SUMPRODUCT(--(A:A&lt;&gt;"")),"",INDEX(A:A,SMALL(IF(A$1:A$200&lt;&gt;"",ROW(A$1:A$200)),ROWS(B$1:B4))))</f>
        <v/>
      </c>
    </row>
    <row r="5" spans="1:2" x14ac:dyDescent="0.2">
      <c r="A5" s="66" t="str">
        <f>IF(AND('Dächer und Decken'!A15&lt;&gt;"",LEN('Dächer und Decken'!A15)&lt;10),'Dächer und Decken'!A15,"")</f>
        <v/>
      </c>
      <c r="B5" s="66" t="str">
        <f t="array" ref="B5">IF(ROWS(B$1:B5)&gt;SUMPRODUCT(--(A:A&lt;&gt;"")),"",INDEX(A:A,SMALL(IF(A$1:A$200&lt;&gt;"",ROW(A$1:A$200)),ROWS(B$1:B5))))</f>
        <v/>
      </c>
    </row>
    <row r="6" spans="1:2" x14ac:dyDescent="0.2">
      <c r="A6" s="66" t="str">
        <f>IF(AND('Dächer und Decken'!A16&lt;&gt;"",LEN('Dächer und Decken'!A16)&lt;10),'Dächer und Decken'!A16,"")</f>
        <v/>
      </c>
      <c r="B6" s="66" t="str">
        <f t="array" ref="B6">IF(ROWS(B$1:B6)&gt;SUMPRODUCT(--(A:A&lt;&gt;"")),"",INDEX(A:A,SMALL(IF(A$1:A$200&lt;&gt;"",ROW(A$1:A$200)),ROWS(B$1:B6))))</f>
        <v/>
      </c>
    </row>
    <row r="7" spans="1:2" x14ac:dyDescent="0.2">
      <c r="A7" s="66" t="str">
        <f>IF(AND('Dächer und Decken'!A17&lt;&gt;"",LEN('Dächer und Decken'!A17)&lt;10),'Dächer und Decken'!A17,"")</f>
        <v/>
      </c>
      <c r="B7" s="66" t="str">
        <f t="array" ref="B7">IF(ROWS(B$1:B7)&gt;SUMPRODUCT(--(A:A&lt;&gt;"")),"",INDEX(A:A,SMALL(IF(A$1:A$200&lt;&gt;"",ROW(A$1:A$200)),ROWS(B$1:B7))))</f>
        <v/>
      </c>
    </row>
    <row r="8" spans="1:2" x14ac:dyDescent="0.2">
      <c r="A8" s="66" t="str">
        <f>IF(AND('Dächer und Decken'!A18&lt;&gt;"",LEN('Dächer und Decken'!A18)&lt;10),'Dächer und Decken'!A18,"")</f>
        <v/>
      </c>
      <c r="B8" s="66" t="str">
        <f t="array" ref="B8">IF(ROWS(B$1:B8)&gt;SUMPRODUCT(--(A:A&lt;&gt;"")),"",INDEX(A:A,SMALL(IF(A$1:A$200&lt;&gt;"",ROW(A$1:A$200)),ROWS(B$1:B8))))</f>
        <v/>
      </c>
    </row>
    <row r="9" spans="1:2" x14ac:dyDescent="0.2">
      <c r="A9" s="66" t="str">
        <f>IF(AND('Dächer und Decken'!A19&lt;&gt;"",LEN('Dächer und Decken'!A19)&lt;10),'Dächer und Decken'!A19,"")</f>
        <v/>
      </c>
      <c r="B9" s="66" t="str">
        <f t="array" ref="B9">IF(ROWS(B$1:B9)&gt;SUMPRODUCT(--(A:A&lt;&gt;"")),"",INDEX(A:A,SMALL(IF(A$1:A$200&lt;&gt;"",ROW(A$1:A$200)),ROWS(B$1:B9))))</f>
        <v/>
      </c>
    </row>
    <row r="10" spans="1:2" x14ac:dyDescent="0.2">
      <c r="A10" s="66" t="str">
        <f>IF(AND('Dächer und Decken'!A20&lt;&gt;"",LEN('Dächer und Decken'!A20)&lt;10),'Dächer und Decken'!A20,"")</f>
        <v/>
      </c>
      <c r="B10" s="66" t="str">
        <f t="array" ref="B10">IF(ROWS(B$1:B10)&gt;SUMPRODUCT(--(A:A&lt;&gt;"")),"",INDEX(A:A,SMALL(IF(A$1:A$200&lt;&gt;"",ROW(A$1:A$200)),ROWS(B$1:B10))))</f>
        <v/>
      </c>
    </row>
    <row r="11" spans="1:2" x14ac:dyDescent="0.2">
      <c r="A11" s="66" t="str">
        <f>IF(AND('Dächer und Decken'!A21&lt;&gt;"",LEN('Dächer und Decken'!A21)&lt;10),'Dächer und Decken'!A21,"")</f>
        <v/>
      </c>
      <c r="B11" s="66" t="str">
        <f t="array" ref="B11">IF(ROWS(B$1:B11)&gt;SUMPRODUCT(--(A:A&lt;&gt;"")),"",INDEX(A:A,SMALL(IF(A$1:A$200&lt;&gt;"",ROW(A$1:A$200)),ROWS(B$1:B11))))</f>
        <v/>
      </c>
    </row>
    <row r="12" spans="1:2" x14ac:dyDescent="0.2">
      <c r="A12" s="66" t="str">
        <f>IF(AND('Dächer und Decken'!A22&lt;&gt;"",LEN('Dächer und Decken'!A22)&lt;10),'Dächer und Decken'!A22,"")</f>
        <v/>
      </c>
      <c r="B12" s="66" t="str">
        <f t="array" ref="B12">IF(ROWS(B$1:B12)&gt;SUMPRODUCT(--(A:A&lt;&gt;"")),"",INDEX(A:A,SMALL(IF(A$1:A$200&lt;&gt;"",ROW(A$1:A$200)),ROWS(B$1:B12))))</f>
        <v/>
      </c>
    </row>
    <row r="13" spans="1:2" x14ac:dyDescent="0.2">
      <c r="A13" s="66" t="str">
        <f>IF(AND('Dächer und Decken'!A23&lt;&gt;"",LEN('Dächer und Decken'!A23)&lt;10),'Dächer und Decken'!A23,"")</f>
        <v/>
      </c>
      <c r="B13" s="66" t="str">
        <f t="array" ref="B13">IF(ROWS(B$1:B13)&gt;SUMPRODUCT(--(A:A&lt;&gt;"")),"",INDEX(A:A,SMALL(IF(A$1:A$200&lt;&gt;"",ROW(A$1:A$200)),ROWS(B$1:B13))))</f>
        <v/>
      </c>
    </row>
    <row r="14" spans="1:2" x14ac:dyDescent="0.2">
      <c r="A14" s="66" t="str">
        <f>IF(AND('Dächer und Decken'!A24&lt;&gt;"",LEN('Dächer und Decken'!A24)&lt;10),'Dächer und Decken'!A24,"")</f>
        <v/>
      </c>
      <c r="B14" s="66" t="str">
        <f t="array" ref="B14">IF(ROWS(B$1:B14)&gt;SUMPRODUCT(--(A:A&lt;&gt;"")),"",INDEX(A:A,SMALL(IF(A$1:A$200&lt;&gt;"",ROW(A$1:A$200)),ROWS(B$1:B14))))</f>
        <v/>
      </c>
    </row>
    <row r="15" spans="1:2" x14ac:dyDescent="0.2">
      <c r="A15" s="66" t="str">
        <f>IF(AND('Dächer und Decken'!A25&lt;&gt;"",LEN('Dächer und Decken'!A25)&lt;10),'Dächer und Decken'!A25,"")</f>
        <v/>
      </c>
      <c r="B15" s="66" t="str">
        <f t="array" ref="B15">IF(ROWS(B$1:B15)&gt;SUMPRODUCT(--(A:A&lt;&gt;"")),"",INDEX(A:A,SMALL(IF(A$1:A$200&lt;&gt;"",ROW(A$1:A$200)),ROWS(B$1:B15))))</f>
        <v/>
      </c>
    </row>
    <row r="16" spans="1:2" x14ac:dyDescent="0.2">
      <c r="A16" s="66" t="str">
        <f>IF(AND('Dächer und Decken'!A26&lt;&gt;"",LEN('Dächer und Decken'!A26)&lt;10),'Dächer und Decken'!A26,"")</f>
        <v/>
      </c>
      <c r="B16" s="66" t="str">
        <f t="array" ref="B16">IF(ROWS(B$1:B16)&gt;SUMPRODUCT(--(A:A&lt;&gt;"")),"",INDEX(A:A,SMALL(IF(A$1:A$200&lt;&gt;"",ROW(A$1:A$200)),ROWS(B$1:B16))))</f>
        <v/>
      </c>
    </row>
    <row r="17" spans="1:2" x14ac:dyDescent="0.2">
      <c r="A17" s="66" t="str">
        <f>IF(AND('Dächer und Decken'!A27&lt;&gt;"",LEN('Dächer und Decken'!A27)&lt;10),'Dächer und Decken'!A27,"")</f>
        <v/>
      </c>
      <c r="B17" s="66" t="str">
        <f t="array" ref="B17">IF(ROWS(B$1:B17)&gt;SUMPRODUCT(--(A:A&lt;&gt;"")),"",INDEX(A:A,SMALL(IF(A$1:A$200&lt;&gt;"",ROW(A$1:A$200)),ROWS(B$1:B17))))</f>
        <v/>
      </c>
    </row>
    <row r="18" spans="1:2" x14ac:dyDescent="0.2">
      <c r="A18" s="66" t="str">
        <f>IF(AND('Dächer und Decken'!A28&lt;&gt;"",LEN('Dächer und Decken'!A28)&lt;10),'Dächer und Decken'!A28,"")</f>
        <v/>
      </c>
      <c r="B18" s="66" t="str">
        <f t="array" ref="B18">IF(ROWS(B$1:B18)&gt;SUMPRODUCT(--(A:A&lt;&gt;"")),"",INDEX(A:A,SMALL(IF(A$1:A$200&lt;&gt;"",ROW(A$1:A$200)),ROWS(B$1:B18))))</f>
        <v/>
      </c>
    </row>
    <row r="19" spans="1:2" x14ac:dyDescent="0.2">
      <c r="A19" s="66" t="str">
        <f>IF(AND('Dächer und Decken'!A29&lt;&gt;"",LEN('Dächer und Decken'!A29)&lt;10),'Dächer und Decken'!A29,"")</f>
        <v/>
      </c>
      <c r="B19" s="66" t="str">
        <f t="array" ref="B19">IF(ROWS(B$1:B19)&gt;SUMPRODUCT(--(A:A&lt;&gt;"")),"",INDEX(A:A,SMALL(IF(A$1:A$200&lt;&gt;"",ROW(A$1:A$200)),ROWS(B$1:B19))))</f>
        <v/>
      </c>
    </row>
    <row r="20" spans="1:2" x14ac:dyDescent="0.2">
      <c r="A20" s="66" t="str">
        <f>IF(AND('Dächer und Decken'!A30&lt;&gt;"",LEN('Dächer und Decken'!A30)&lt;10),'Dächer und Decken'!A30,"")</f>
        <v/>
      </c>
      <c r="B20" s="66" t="str">
        <f t="array" ref="B20">IF(ROWS(B$1:B20)&gt;SUMPRODUCT(--(A:A&lt;&gt;"")),"",INDEX(A:A,SMALL(IF(A$1:A$200&lt;&gt;"",ROW(A$1:A$200)),ROWS(B$1:B20))))</f>
        <v/>
      </c>
    </row>
    <row r="21" spans="1:2" x14ac:dyDescent="0.2">
      <c r="A21" s="66" t="str">
        <f>IF(AND('Dächer und Decken'!A31&lt;&gt;"",LEN('Dächer und Decken'!A31)&lt;10),'Dächer und Decken'!A31,"")</f>
        <v/>
      </c>
      <c r="B21" s="66" t="str">
        <f t="array" ref="B21">IF(ROWS(B$1:B21)&gt;SUMPRODUCT(--(A:A&lt;&gt;"")),"",INDEX(A:A,SMALL(IF(A$1:A$200&lt;&gt;"",ROW(A$1:A$200)),ROWS(B$1:B21))))</f>
        <v/>
      </c>
    </row>
    <row r="22" spans="1:2" x14ac:dyDescent="0.2">
      <c r="A22" s="66" t="str">
        <f>IF(AND('Dächer und Decken'!A32&lt;&gt;"",LEN('Dächer und Decken'!A32)&lt;10),'Dächer und Decken'!A32,"")</f>
        <v/>
      </c>
      <c r="B22" s="66" t="str">
        <f t="array" ref="B22">IF(ROWS(B$1:B22)&gt;SUMPRODUCT(--(A:A&lt;&gt;"")),"",INDEX(A:A,SMALL(IF(A$1:A$200&lt;&gt;"",ROW(A$1:A$200)),ROWS(B$1:B22))))</f>
        <v/>
      </c>
    </row>
    <row r="23" spans="1:2" x14ac:dyDescent="0.2">
      <c r="A23" s="66" t="str">
        <f>IF(AND('Dächer und Decken'!A33&lt;&gt;"",LEN('Dächer und Decken'!A33)&lt;10),'Dächer und Decken'!A33,"")</f>
        <v/>
      </c>
      <c r="B23" s="66" t="str">
        <f t="array" ref="B23">IF(ROWS(B$1:B23)&gt;SUMPRODUCT(--(A:A&lt;&gt;"")),"",INDEX(A:A,SMALL(IF(A$1:A$200&lt;&gt;"",ROW(A$1:A$200)),ROWS(B$1:B23))))</f>
        <v/>
      </c>
    </row>
    <row r="24" spans="1:2" x14ac:dyDescent="0.2">
      <c r="A24" s="66" t="str">
        <f>IF(AND('Dächer und Decken'!A34&lt;&gt;"",LEN('Dächer und Decken'!A34)&lt;10),'Dächer und Decken'!A34,"")</f>
        <v/>
      </c>
      <c r="B24" s="66" t="str">
        <f t="array" ref="B24">IF(ROWS(B$1:B24)&gt;SUMPRODUCT(--(A:A&lt;&gt;"")),"",INDEX(A:A,SMALL(IF(A$1:A$200&lt;&gt;"",ROW(A$1:A$200)),ROWS(B$1:B24))))</f>
        <v/>
      </c>
    </row>
    <row r="25" spans="1:2" x14ac:dyDescent="0.2">
      <c r="A25" s="66" t="str">
        <f>IF(AND('Dächer und Decken'!A35&lt;&gt;"",LEN('Dächer und Decken'!A35)&lt;10),'Dächer und Decken'!A35,"")</f>
        <v/>
      </c>
      <c r="B25" s="66" t="str">
        <f t="array" ref="B25">IF(ROWS(B$1:B25)&gt;SUMPRODUCT(--(A:A&lt;&gt;"")),"",INDEX(A:A,SMALL(IF(A$1:A$200&lt;&gt;"",ROW(A$1:A$200)),ROWS(B$1:B25))))</f>
        <v/>
      </c>
    </row>
    <row r="26" spans="1:2" x14ac:dyDescent="0.2">
      <c r="A26" s="66" t="str">
        <f>IF(AND('Dächer und Decken'!A36&lt;&gt;"",LEN('Dächer und Decken'!A36)&lt;10),'Dächer und Decken'!A36,"")</f>
        <v/>
      </c>
      <c r="B26" s="66" t="str">
        <f t="array" ref="B26">IF(ROWS(B$1:B26)&gt;SUMPRODUCT(--(A:A&lt;&gt;"")),"",INDEX(A:A,SMALL(IF(A$1:A$200&lt;&gt;"",ROW(A$1:A$200)),ROWS(B$1:B26))))</f>
        <v/>
      </c>
    </row>
    <row r="27" spans="1:2" x14ac:dyDescent="0.2">
      <c r="A27" s="66" t="str">
        <f>IF(AND('Dächer und Decken'!A37&lt;&gt;"",LEN('Dächer und Decken'!A37)&lt;10),'Dächer und Decken'!A37,"")</f>
        <v/>
      </c>
      <c r="B27" s="66" t="str">
        <f t="array" ref="B27">IF(ROWS(B$1:B27)&gt;SUMPRODUCT(--(A:A&lt;&gt;"")),"",INDEX(A:A,SMALL(IF(A$1:A$200&lt;&gt;"",ROW(A$1:A$200)),ROWS(B$1:B27))))</f>
        <v/>
      </c>
    </row>
    <row r="28" spans="1:2" x14ac:dyDescent="0.2">
      <c r="A28" s="66" t="str">
        <f>IF(AND('Dächer und Decken'!A38&lt;&gt;"",LEN('Dächer und Decken'!A38)&lt;10),'Dächer und Decken'!A38,"")</f>
        <v/>
      </c>
      <c r="B28" s="66" t="str">
        <f t="array" ref="B28">IF(ROWS(B$1:B28)&gt;SUMPRODUCT(--(A:A&lt;&gt;"")),"",INDEX(A:A,SMALL(IF(A$1:A$200&lt;&gt;"",ROW(A$1:A$200)),ROWS(B$1:B28))))</f>
        <v/>
      </c>
    </row>
    <row r="29" spans="1:2" x14ac:dyDescent="0.2">
      <c r="A29" s="66" t="str">
        <f>IF(AND('Dächer und Decken'!A39&lt;&gt;"",LEN('Dächer und Decken'!A39)&lt;10),'Dächer und Decken'!A39,"")</f>
        <v/>
      </c>
      <c r="B29" s="66" t="str">
        <f t="array" ref="B29">IF(ROWS(B$1:B29)&gt;SUMPRODUCT(--(A:A&lt;&gt;"")),"",INDEX(A:A,SMALL(IF(A$1:A$200&lt;&gt;"",ROW(A$1:A$200)),ROWS(B$1:B29))))</f>
        <v/>
      </c>
    </row>
    <row r="30" spans="1:2" x14ac:dyDescent="0.2">
      <c r="A30" s="66" t="str">
        <f>IF(AND('Dächer und Decken'!A40&lt;&gt;"",LEN('Dächer und Decken'!A40)&lt;10),'Dächer und Decken'!A40,"")</f>
        <v/>
      </c>
      <c r="B30" s="66" t="str">
        <f t="array" ref="B30">IF(ROWS(B$1:B30)&gt;SUMPRODUCT(--(A:A&lt;&gt;"")),"",INDEX(A:A,SMALL(IF(A$1:A$200&lt;&gt;"",ROW(A$1:A$200)),ROWS(B$1:B30))))</f>
        <v/>
      </c>
    </row>
    <row r="31" spans="1:2" x14ac:dyDescent="0.2">
      <c r="A31" s="66" t="str">
        <f>IF(AND('Dächer und Decken'!A41&lt;&gt;"",LEN('Dächer und Decken'!A41)&lt;10),'Dächer und Decken'!A41,"")</f>
        <v/>
      </c>
      <c r="B31" s="66" t="str">
        <f t="array" ref="B31">IF(ROWS(B$1:B31)&gt;SUMPRODUCT(--(A:A&lt;&gt;"")),"",INDEX(A:A,SMALL(IF(A$1:A$200&lt;&gt;"",ROW(A$1:A$200)),ROWS(B$1:B31))))</f>
        <v/>
      </c>
    </row>
    <row r="32" spans="1:2" x14ac:dyDescent="0.2">
      <c r="A32" s="66" t="str">
        <f>IF(AND('Dächer und Decken'!A42&lt;&gt;"",LEN('Dächer und Decken'!A42)&lt;10),'Dächer und Decken'!A42,"")</f>
        <v/>
      </c>
      <c r="B32" s="66" t="str">
        <f t="array" ref="B32">IF(ROWS(B$1:B32)&gt;SUMPRODUCT(--(A:A&lt;&gt;"")),"",INDEX(A:A,SMALL(IF(A$1:A$200&lt;&gt;"",ROW(A$1:A$200)),ROWS(B$1:B32))))</f>
        <v/>
      </c>
    </row>
    <row r="33" spans="1:2" x14ac:dyDescent="0.2">
      <c r="A33" s="66" t="str">
        <f>IF(AND('Dächer und Decken'!A43&lt;&gt;"",LEN('Dächer und Decken'!A43)&lt;10),'Dächer und Decken'!A43,"")</f>
        <v/>
      </c>
      <c r="B33" s="66" t="str">
        <f t="array" ref="B33">IF(ROWS(B$1:B33)&gt;SUMPRODUCT(--(A:A&lt;&gt;"")),"",INDEX(A:A,SMALL(IF(A$1:A$200&lt;&gt;"",ROW(A$1:A$200)),ROWS(B$1:B33))))</f>
        <v/>
      </c>
    </row>
    <row r="34" spans="1:2" x14ac:dyDescent="0.2">
      <c r="A34" s="66" t="str">
        <f>IF(AND('Dächer und Decken'!A44&lt;&gt;"",LEN('Dächer und Decken'!A44)&lt;10),'Dächer und Decken'!A44,"")</f>
        <v/>
      </c>
      <c r="B34" s="66" t="str">
        <f t="array" ref="B34">IF(ROWS(B$1:B34)&gt;SUMPRODUCT(--(A:A&lt;&gt;"")),"",INDEX(A:A,SMALL(IF(A$1:A$200&lt;&gt;"",ROW(A$1:A$200)),ROWS(B$1:B34))))</f>
        <v/>
      </c>
    </row>
    <row r="35" spans="1:2" x14ac:dyDescent="0.2">
      <c r="A35" s="66" t="str">
        <f>IF(AND('Dächer und Decken'!A45&lt;&gt;"",LEN('Dächer und Decken'!A45)&lt;10),'Dächer und Decken'!A45,"")</f>
        <v/>
      </c>
      <c r="B35" s="66" t="str">
        <f t="array" ref="B35">IF(ROWS(B$1:B35)&gt;SUMPRODUCT(--(A:A&lt;&gt;"")),"",INDEX(A:A,SMALL(IF(A$1:A$200&lt;&gt;"",ROW(A$1:A$200)),ROWS(B$1:B35))))</f>
        <v/>
      </c>
    </row>
    <row r="36" spans="1:2" x14ac:dyDescent="0.2">
      <c r="A36" s="66" t="str">
        <f>IF(AND('Dächer und Decken'!A46&lt;&gt;"",LEN('Dächer und Decken'!A46)&lt;10),'Dächer und Decken'!A46,"")</f>
        <v/>
      </c>
      <c r="B36" s="66" t="str">
        <f t="array" ref="B36">IF(ROWS(B$1:B36)&gt;SUMPRODUCT(--(A:A&lt;&gt;"")),"",INDEX(A:A,SMALL(IF(A$1:A$200&lt;&gt;"",ROW(A$1:A$200)),ROWS(B$1:B36))))</f>
        <v/>
      </c>
    </row>
    <row r="37" spans="1:2" x14ac:dyDescent="0.2">
      <c r="A37" s="66" t="str">
        <f>IF(AND('Dächer und Decken'!A47&lt;&gt;"",LEN('Dächer und Decken'!A47)&lt;10),'Dächer und Decken'!A47,"")</f>
        <v/>
      </c>
      <c r="B37" s="66" t="str">
        <f t="array" ref="B37">IF(ROWS(B$1:B37)&gt;SUMPRODUCT(--(A:A&lt;&gt;"")),"",INDEX(A:A,SMALL(IF(A$1:A$200&lt;&gt;"",ROW(A$1:A$200)),ROWS(B$1:B37))))</f>
        <v/>
      </c>
    </row>
    <row r="38" spans="1:2" x14ac:dyDescent="0.2">
      <c r="A38" s="66" t="str">
        <f>IF(AND('Dächer und Decken'!A48&lt;&gt;"",LEN('Dächer und Decken'!A48)&lt;10),'Dächer und Decken'!A48,"")</f>
        <v/>
      </c>
      <c r="B38" s="66" t="str">
        <f t="array" ref="B38">IF(ROWS(B$1:B38)&gt;SUMPRODUCT(--(A:A&lt;&gt;"")),"",INDEX(A:A,SMALL(IF(A$1:A$200&lt;&gt;"",ROW(A$1:A$200)),ROWS(B$1:B38))))</f>
        <v/>
      </c>
    </row>
    <row r="39" spans="1:2" x14ac:dyDescent="0.2">
      <c r="A39" s="66" t="str">
        <f>IF(AND('Dächer und Decken'!A49&lt;&gt;"",LEN('Dächer und Decken'!A49)&lt;10),'Dächer und Decken'!A49,"")</f>
        <v/>
      </c>
      <c r="B39" s="66" t="str">
        <f t="array" ref="B39">IF(ROWS(B$1:B39)&gt;SUMPRODUCT(--(A:A&lt;&gt;"")),"",INDEX(A:A,SMALL(IF(A$1:A$200&lt;&gt;"",ROW(A$1:A$200)),ROWS(B$1:B39))))</f>
        <v/>
      </c>
    </row>
    <row r="40" spans="1:2" x14ac:dyDescent="0.2">
      <c r="A40" s="66" t="str">
        <f>IF(AND('Dächer und Decken'!A50&lt;&gt;"",LEN('Dächer und Decken'!A50)&lt;10),'Dächer und Decken'!A50,"")</f>
        <v/>
      </c>
      <c r="B40" s="66" t="str">
        <f t="array" ref="B40">IF(ROWS(B$1:B40)&gt;SUMPRODUCT(--(A:A&lt;&gt;"")),"",INDEX(A:A,SMALL(IF(A$1:A$200&lt;&gt;"",ROW(A$1:A$200)),ROWS(B$1:B40))))</f>
        <v/>
      </c>
    </row>
    <row r="41" spans="1:2" x14ac:dyDescent="0.2">
      <c r="A41" s="66" t="str">
        <f>IF(AND('Dächer und Decken'!A51&lt;&gt;"",LEN('Dächer und Decken'!A51)&lt;10),'Dächer und Decken'!A51,"")</f>
        <v/>
      </c>
      <c r="B41" s="66" t="str">
        <f t="array" ref="B41">IF(ROWS(B$1:B41)&gt;SUMPRODUCT(--(A:A&lt;&gt;"")),"",INDEX(A:A,SMALL(IF(A$1:A$200&lt;&gt;"",ROW(A$1:A$200)),ROWS(B$1:B41))))</f>
        <v/>
      </c>
    </row>
    <row r="42" spans="1:2" x14ac:dyDescent="0.2">
      <c r="A42" s="66" t="str">
        <f>IF(AND('Dächer und Decken'!A52&lt;&gt;"",LEN('Dächer und Decken'!A52)&lt;10),'Dächer und Decken'!A52,"")</f>
        <v/>
      </c>
      <c r="B42" s="66" t="str">
        <f t="array" ref="B42">IF(ROWS(B$1:B42)&gt;SUMPRODUCT(--(A:A&lt;&gt;"")),"",INDEX(A:A,SMALL(IF(A$1:A$200&lt;&gt;"",ROW(A$1:A$200)),ROWS(B$1:B42))))</f>
        <v/>
      </c>
    </row>
    <row r="43" spans="1:2" x14ac:dyDescent="0.2">
      <c r="A43" s="66" t="str">
        <f>IF(AND('Dächer und Decken'!A53&lt;&gt;"",LEN('Dächer und Decken'!A53)&lt;10),'Dächer und Decken'!A53,"")</f>
        <v/>
      </c>
      <c r="B43" s="66" t="str">
        <f t="array" ref="B43">IF(ROWS(B$1:B43)&gt;SUMPRODUCT(--(A:A&lt;&gt;"")),"",INDEX(A:A,SMALL(IF(A$1:A$200&lt;&gt;"",ROW(A$1:A$200)),ROWS(B$1:B43))))</f>
        <v/>
      </c>
    </row>
    <row r="44" spans="1:2" x14ac:dyDescent="0.2">
      <c r="A44" s="66" t="str">
        <f>IF(AND('Dächer und Decken'!A54&lt;&gt;"",LEN('Dächer und Decken'!A54)&lt;10),'Dächer und Decken'!A54,"")</f>
        <v/>
      </c>
      <c r="B44" s="66" t="str">
        <f t="array" ref="B44">IF(ROWS(B$1:B44)&gt;SUMPRODUCT(--(A:A&lt;&gt;"")),"",INDEX(A:A,SMALL(IF(A$1:A$200&lt;&gt;"",ROW(A$1:A$200)),ROWS(B$1:B44))))</f>
        <v/>
      </c>
    </row>
    <row r="45" spans="1:2" x14ac:dyDescent="0.2">
      <c r="A45" s="66" t="str">
        <f>IF(AND('Dächer und Decken'!A55&lt;&gt;"",LEN('Dächer und Decken'!A55)&lt;10),'Dächer und Decken'!A55,"")</f>
        <v/>
      </c>
      <c r="B45" s="66" t="str">
        <f t="array" ref="B45">IF(ROWS(B$1:B45)&gt;SUMPRODUCT(--(A:A&lt;&gt;"")),"",INDEX(A:A,SMALL(IF(A$1:A$200&lt;&gt;"",ROW(A$1:A$200)),ROWS(B$1:B45))))</f>
        <v/>
      </c>
    </row>
    <row r="46" spans="1:2" x14ac:dyDescent="0.2">
      <c r="A46" s="66" t="str">
        <f>IF(AND('Dächer und Decken'!A56&lt;&gt;"",LEN('Dächer und Decken'!A56)&lt;10),'Dächer und Decken'!A56,"")</f>
        <v/>
      </c>
      <c r="B46" s="66" t="str">
        <f t="array" ref="B46">IF(ROWS(B$1:B46)&gt;SUMPRODUCT(--(A:A&lt;&gt;"")),"",INDEX(A:A,SMALL(IF(A$1:A$200&lt;&gt;"",ROW(A$1:A$200)),ROWS(B$1:B46))))</f>
        <v/>
      </c>
    </row>
    <row r="47" spans="1:2" x14ac:dyDescent="0.2">
      <c r="A47" s="66" t="str">
        <f>IF(AND('Dächer und Decken'!A57&lt;&gt;"",LEN('Dächer und Decken'!A57)&lt;10),'Dächer und Decken'!A57,"")</f>
        <v/>
      </c>
      <c r="B47" s="66" t="str">
        <f t="array" ref="B47">IF(ROWS(B$1:B47)&gt;SUMPRODUCT(--(A:A&lt;&gt;"")),"",INDEX(A:A,SMALL(IF(A$1:A$200&lt;&gt;"",ROW(A$1:A$200)),ROWS(B$1:B47))))</f>
        <v/>
      </c>
    </row>
    <row r="48" spans="1:2" x14ac:dyDescent="0.2">
      <c r="A48" s="66" t="str">
        <f>IF(AND('Dächer und Decken'!A58&lt;&gt;"",LEN('Dächer und Decken'!A58)&lt;10),'Dächer und Decken'!A58,"")</f>
        <v/>
      </c>
      <c r="B48" s="66" t="str">
        <f t="array" ref="B48">IF(ROWS(B$1:B48)&gt;SUMPRODUCT(--(A:A&lt;&gt;"")),"",INDEX(A:A,SMALL(IF(A$1:A$200&lt;&gt;"",ROW(A$1:A$200)),ROWS(B$1:B48))))</f>
        <v/>
      </c>
    </row>
    <row r="49" spans="1:2" x14ac:dyDescent="0.2">
      <c r="A49" s="66" t="str">
        <f>IF(AND('Dächer und Decken'!A59&lt;&gt;"",LEN('Dächer und Decken'!A59)&lt;10),'Dächer und Decken'!A59,"")</f>
        <v/>
      </c>
      <c r="B49" s="66" t="str">
        <f t="array" ref="B49">IF(ROWS(B$1:B49)&gt;SUMPRODUCT(--(A:A&lt;&gt;"")),"",INDEX(A:A,SMALL(IF(A$1:A$200&lt;&gt;"",ROW(A$1:A$200)),ROWS(B$1:B49))))</f>
        <v/>
      </c>
    </row>
    <row r="50" spans="1:2" x14ac:dyDescent="0.2">
      <c r="A50" s="66" t="str">
        <f>IF(AND('Dächer und Decken'!A60&lt;&gt;"",LEN('Dächer und Decken'!A60)&lt;10),'Dächer und Decken'!A60,"")</f>
        <v/>
      </c>
      <c r="B50" s="66" t="str">
        <f t="array" ref="B50">IF(ROWS(B$1:B50)&gt;SUMPRODUCT(--(A:A&lt;&gt;"")),"",INDEX(A:A,SMALL(IF(A$1:A$200&lt;&gt;"",ROW(A$1:A$200)),ROWS(B$1:B50))))</f>
        <v/>
      </c>
    </row>
    <row r="51" spans="1:2" x14ac:dyDescent="0.2">
      <c r="A51" s="66" t="str">
        <f>IF(AND('Dächer und Decken'!A61&lt;&gt;"",LEN('Dächer und Decken'!A61)&lt;10),'Dächer und Decken'!A61,"")</f>
        <v/>
      </c>
      <c r="B51" s="66" t="str">
        <f t="array" ref="B51">IF(ROWS(B$1:B51)&gt;SUMPRODUCT(--(A:A&lt;&gt;"")),"",INDEX(A:A,SMALL(IF(A$1:A$200&lt;&gt;"",ROW(A$1:A$200)),ROWS(B$1:B51))))</f>
        <v/>
      </c>
    </row>
    <row r="52" spans="1:2" x14ac:dyDescent="0.2">
      <c r="A52" s="66" t="str">
        <f>IF(AND('Dächer und Decken'!A62&lt;&gt;"",LEN('Dächer und Decken'!A62)&lt;10),'Dächer und Decken'!A62,"")</f>
        <v/>
      </c>
      <c r="B52" s="66" t="str">
        <f t="array" ref="B52">IF(ROWS(B$1:B52)&gt;SUMPRODUCT(--(A:A&lt;&gt;"")),"",INDEX(A:A,SMALL(IF(A$1:A$200&lt;&gt;"",ROW(A$1:A$200)),ROWS(B$1:B52))))</f>
        <v/>
      </c>
    </row>
    <row r="53" spans="1:2" x14ac:dyDescent="0.2">
      <c r="A53" s="66" t="str">
        <f>IF(AND('Dächer und Decken'!A63&lt;&gt;"",LEN('Dächer und Decken'!A63)&lt;10),'Dächer und Decken'!A63,"")</f>
        <v/>
      </c>
      <c r="B53" s="66" t="str">
        <f t="array" ref="B53">IF(ROWS(B$1:B53)&gt;SUMPRODUCT(--(A:A&lt;&gt;"")),"",INDEX(A:A,SMALL(IF(A$1:A$200&lt;&gt;"",ROW(A$1:A$200)),ROWS(B$1:B53))))</f>
        <v/>
      </c>
    </row>
    <row r="54" spans="1:2" x14ac:dyDescent="0.2">
      <c r="A54" s="66" t="str">
        <f>IF(AND('Dächer und Decken'!A64&lt;&gt;"",LEN('Dächer und Decken'!A64)&lt;10),'Dächer und Decken'!A64,"")</f>
        <v/>
      </c>
      <c r="B54" s="66" t="str">
        <f t="array" ref="B54">IF(ROWS(B$1:B54)&gt;SUMPRODUCT(--(A:A&lt;&gt;"")),"",INDEX(A:A,SMALL(IF(A$1:A$200&lt;&gt;"",ROW(A$1:A$200)),ROWS(B$1:B54))))</f>
        <v/>
      </c>
    </row>
    <row r="55" spans="1:2" x14ac:dyDescent="0.2">
      <c r="A55" s="66" t="str">
        <f>IF(AND('Dächer und Decken'!A65&lt;&gt;"",LEN('Dächer und Decken'!A65)&lt;10),'Dächer und Decken'!A65,"")</f>
        <v/>
      </c>
      <c r="B55" s="66" t="str">
        <f t="array" ref="B55">IF(ROWS(B$1:B55)&gt;SUMPRODUCT(--(A:A&lt;&gt;"")),"",INDEX(A:A,SMALL(IF(A$1:A$200&lt;&gt;"",ROW(A$1:A$200)),ROWS(B$1:B55))))</f>
        <v/>
      </c>
    </row>
    <row r="56" spans="1:2" x14ac:dyDescent="0.2">
      <c r="A56" s="66" t="str">
        <f>IF(AND('Dächer und Decken'!A66&lt;&gt;"",LEN('Dächer und Decken'!A66)&lt;10),'Dächer und Decken'!A66,"")</f>
        <v/>
      </c>
      <c r="B56" s="66" t="str">
        <f t="array" ref="B56">IF(ROWS(B$1:B56)&gt;SUMPRODUCT(--(A:A&lt;&gt;"")),"",INDEX(A:A,SMALL(IF(A$1:A$200&lt;&gt;"",ROW(A$1:A$200)),ROWS(B$1:B56))))</f>
        <v/>
      </c>
    </row>
    <row r="57" spans="1:2" x14ac:dyDescent="0.2">
      <c r="A57" s="66" t="str">
        <f>IF(AND('Dächer und Decken'!A67&lt;&gt;"",LEN('Dächer und Decken'!A67)&lt;10),'Dächer und Decken'!A67,"")</f>
        <v/>
      </c>
      <c r="B57" s="66" t="str">
        <f t="array" ref="B57">IF(ROWS(B$1:B57)&gt;SUMPRODUCT(--(A:A&lt;&gt;"")),"",INDEX(A:A,SMALL(IF(A$1:A$200&lt;&gt;"",ROW(A$1:A$200)),ROWS(B$1:B57))))</f>
        <v/>
      </c>
    </row>
    <row r="58" spans="1:2" x14ac:dyDescent="0.2">
      <c r="A58" s="66" t="str">
        <f>IF(AND('Dächer und Decken'!A68&lt;&gt;"",LEN('Dächer und Decken'!A68)&lt;10),'Dächer und Decken'!A68,"")</f>
        <v/>
      </c>
      <c r="B58" s="66" t="str">
        <f t="array" ref="B58">IF(ROWS(B$1:B58)&gt;SUMPRODUCT(--(A:A&lt;&gt;"")),"",INDEX(A:A,SMALL(IF(A$1:A$200&lt;&gt;"",ROW(A$1:A$200)),ROWS(B$1:B58))))</f>
        <v/>
      </c>
    </row>
    <row r="59" spans="1:2" x14ac:dyDescent="0.2">
      <c r="A59" s="66" t="str">
        <f>IF(AND('Dächer und Decken'!A69&lt;&gt;"",LEN('Dächer und Decken'!A69)&lt;10),'Dächer und Decken'!A69,"")</f>
        <v/>
      </c>
      <c r="B59" s="66" t="str">
        <f t="array" ref="B59">IF(ROWS(B$1:B59)&gt;SUMPRODUCT(--(A:A&lt;&gt;"")),"",INDEX(A:A,SMALL(IF(A$1:A$200&lt;&gt;"",ROW(A$1:A$200)),ROWS(B$1:B59))))</f>
        <v/>
      </c>
    </row>
    <row r="60" spans="1:2" x14ac:dyDescent="0.2">
      <c r="A60" s="66" t="str">
        <f>IF(AND('Dächer und Decken'!A70&lt;&gt;"",LEN('Dächer und Decken'!A70)&lt;10),'Dächer und Decken'!A70,"")</f>
        <v/>
      </c>
      <c r="B60" s="66" t="str">
        <f t="array" ref="B60">IF(ROWS(B$1:B60)&gt;SUMPRODUCT(--(A:A&lt;&gt;"")),"",INDEX(A:A,SMALL(IF(A$1:A$200&lt;&gt;"",ROW(A$1:A$200)),ROWS(B$1:B60))))</f>
        <v/>
      </c>
    </row>
    <row r="61" spans="1:2" x14ac:dyDescent="0.2">
      <c r="A61" s="66" t="str">
        <f>IF(AND('Dächer und Decken'!A71&lt;&gt;"",LEN('Dächer und Decken'!A71)&lt;10),'Dächer und Decken'!A71,"")</f>
        <v/>
      </c>
      <c r="B61" s="66" t="str">
        <f t="array" ref="B61">IF(ROWS(B$1:B61)&gt;SUMPRODUCT(--(A:A&lt;&gt;"")),"",INDEX(A:A,SMALL(IF(A$1:A$200&lt;&gt;"",ROW(A$1:A$200)),ROWS(B$1:B61))))</f>
        <v/>
      </c>
    </row>
    <row r="62" spans="1:2" x14ac:dyDescent="0.2">
      <c r="A62" s="66" t="str">
        <f>IF(AND('Dächer und Decken'!A72&lt;&gt;"",LEN('Dächer und Decken'!A72)&lt;10),'Dächer und Decken'!A72,"")</f>
        <v/>
      </c>
      <c r="B62" s="66" t="str">
        <f t="array" ref="B62">IF(ROWS(B$1:B62)&gt;SUMPRODUCT(--(A:A&lt;&gt;"")),"",INDEX(A:A,SMALL(IF(A$1:A$200&lt;&gt;"",ROW(A$1:A$200)),ROWS(B$1:B62))))</f>
        <v/>
      </c>
    </row>
    <row r="63" spans="1:2" x14ac:dyDescent="0.2">
      <c r="A63" s="66" t="str">
        <f>IF(AND('Dächer und Decken'!A73&lt;&gt;"",LEN('Dächer und Decken'!A73)&lt;10),'Dächer und Decken'!A73,"")</f>
        <v/>
      </c>
      <c r="B63" s="66" t="str">
        <f t="array" ref="B63">IF(ROWS(B$1:B63)&gt;SUMPRODUCT(--(A:A&lt;&gt;"")),"",INDEX(A:A,SMALL(IF(A$1:A$200&lt;&gt;"",ROW(A$1:A$200)),ROWS(B$1:B63))))</f>
        <v/>
      </c>
    </row>
    <row r="64" spans="1:2" x14ac:dyDescent="0.2">
      <c r="A64" s="66" t="str">
        <f>IF(AND('Dächer und Decken'!A74&lt;&gt;"",LEN('Dächer und Decken'!A74)&lt;10),'Dächer und Decken'!A74,"")</f>
        <v/>
      </c>
      <c r="B64" s="66" t="str">
        <f t="array" ref="B64">IF(ROWS(B$1:B64)&gt;SUMPRODUCT(--(A:A&lt;&gt;"")),"",INDEX(A:A,SMALL(IF(A$1:A$200&lt;&gt;"",ROW(A$1:A$200)),ROWS(B$1:B64))))</f>
        <v/>
      </c>
    </row>
    <row r="65" spans="1:2" x14ac:dyDescent="0.2">
      <c r="A65" s="66" t="str">
        <f>IF(AND('Dächer und Decken'!A75&lt;&gt;"",LEN('Dächer und Decken'!A75)&lt;10),'Dächer und Decken'!A75,"")</f>
        <v/>
      </c>
      <c r="B65" s="66" t="str">
        <f t="array" ref="B65">IF(ROWS(B$1:B65)&gt;SUMPRODUCT(--(A:A&lt;&gt;"")),"",INDEX(A:A,SMALL(IF(A$1:A$200&lt;&gt;"",ROW(A$1:A$200)),ROWS(B$1:B65))))</f>
        <v/>
      </c>
    </row>
    <row r="66" spans="1:2" x14ac:dyDescent="0.2">
      <c r="A66" s="66" t="str">
        <f>IF(AND('Dächer und Decken'!A76&lt;&gt;"",LEN('Dächer und Decken'!A76)&lt;10),'Dächer und Decken'!A76,"")</f>
        <v/>
      </c>
      <c r="B66" s="66" t="str">
        <f t="array" ref="B66">IF(ROWS(B$1:B66)&gt;SUMPRODUCT(--(A:A&lt;&gt;"")),"",INDEX(A:A,SMALL(IF(A$1:A$200&lt;&gt;"",ROW(A$1:A$200)),ROWS(B$1:B66))))</f>
        <v/>
      </c>
    </row>
    <row r="67" spans="1:2" x14ac:dyDescent="0.2">
      <c r="A67" s="66" t="str">
        <f>IF(AND('Dächer und Decken'!A77&lt;&gt;"",LEN('Dächer und Decken'!A77)&lt;10),'Dächer und Decken'!A77,"")</f>
        <v/>
      </c>
      <c r="B67" s="66" t="str">
        <f t="array" ref="B67">IF(ROWS(B$1:B67)&gt;SUMPRODUCT(--(A:A&lt;&gt;"")),"",INDEX(A:A,SMALL(IF(A$1:A$200&lt;&gt;"",ROW(A$1:A$200)),ROWS(B$1:B67))))</f>
        <v/>
      </c>
    </row>
    <row r="68" spans="1:2" x14ac:dyDescent="0.2">
      <c r="A68" s="66" t="str">
        <f>IF(AND('Dächer und Decken'!A78&lt;&gt;"",LEN('Dächer und Decken'!A78)&lt;10),'Dächer und Decken'!A78,"")</f>
        <v/>
      </c>
      <c r="B68" s="66" t="str">
        <f t="array" ref="B68">IF(ROWS(B$1:B68)&gt;SUMPRODUCT(--(A:A&lt;&gt;"")),"",INDEX(A:A,SMALL(IF(A$1:A$200&lt;&gt;"",ROW(A$1:A$200)),ROWS(B$1:B68))))</f>
        <v/>
      </c>
    </row>
    <row r="69" spans="1:2" x14ac:dyDescent="0.2">
      <c r="A69" s="66" t="str">
        <f>IF(AND('Dächer und Decken'!A79&lt;&gt;"",LEN('Dächer und Decken'!A79)&lt;10),'Dächer und Decken'!A79,"")</f>
        <v/>
      </c>
      <c r="B69" s="66" t="str">
        <f t="array" ref="B69">IF(ROWS(B$1:B69)&gt;SUMPRODUCT(--(A:A&lt;&gt;"")),"",INDEX(A:A,SMALL(IF(A$1:A$200&lt;&gt;"",ROW(A$1:A$200)),ROWS(B$1:B69))))</f>
        <v/>
      </c>
    </row>
    <row r="70" spans="1:2" x14ac:dyDescent="0.2">
      <c r="A70" s="66" t="str">
        <f>IF(AND('Dächer und Decken'!A80&lt;&gt;"",LEN('Dächer und Decken'!A80)&lt;10),'Dächer und Decken'!A80,"")</f>
        <v/>
      </c>
      <c r="B70" s="66" t="str">
        <f t="array" ref="B70">IF(ROWS(B$1:B70)&gt;SUMPRODUCT(--(A:A&lt;&gt;"")),"",INDEX(A:A,SMALL(IF(A$1:A$200&lt;&gt;"",ROW(A$1:A$200)),ROWS(B$1:B70))))</f>
        <v/>
      </c>
    </row>
    <row r="71" spans="1:2" x14ac:dyDescent="0.2">
      <c r="A71" s="66" t="str">
        <f>IF(AND('Dächer und Decken'!A81&lt;&gt;"",LEN('Dächer und Decken'!A81)&lt;10),'Dächer und Decken'!A81,"")</f>
        <v/>
      </c>
      <c r="B71" s="66" t="str">
        <f t="array" ref="B71">IF(ROWS(B$1:B71)&gt;SUMPRODUCT(--(A:A&lt;&gt;"")),"",INDEX(A:A,SMALL(IF(A$1:A$200&lt;&gt;"",ROW(A$1:A$200)),ROWS(B$1:B71))))</f>
        <v/>
      </c>
    </row>
    <row r="72" spans="1:2" x14ac:dyDescent="0.2">
      <c r="A72" s="66" t="str">
        <f>IF(AND('Dächer und Decken'!A82&lt;&gt;"",LEN('Dächer und Decken'!A82)&lt;10),'Dächer und Decken'!A82,"")</f>
        <v/>
      </c>
      <c r="B72" s="66" t="str">
        <f t="array" ref="B72">IF(ROWS(B$1:B72)&gt;SUMPRODUCT(--(A:A&lt;&gt;"")),"",INDEX(A:A,SMALL(IF(A$1:A$200&lt;&gt;"",ROW(A$1:A$200)),ROWS(B$1:B72))))</f>
        <v/>
      </c>
    </row>
    <row r="73" spans="1:2" x14ac:dyDescent="0.2">
      <c r="A73" s="66" t="str">
        <f>IF(AND('Dächer und Decken'!A83&lt;&gt;"",LEN('Dächer und Decken'!A83)&lt;10),'Dächer und Decken'!A83,"")</f>
        <v/>
      </c>
      <c r="B73" s="66" t="str">
        <f t="array" ref="B73">IF(ROWS(B$1:B73)&gt;SUMPRODUCT(--(A:A&lt;&gt;"")),"",INDEX(A:A,SMALL(IF(A$1:A$200&lt;&gt;"",ROW(A$1:A$200)),ROWS(B$1:B73))))</f>
        <v/>
      </c>
    </row>
    <row r="74" spans="1:2" x14ac:dyDescent="0.2">
      <c r="A74" s="66" t="str">
        <f>IF(AND('Dächer und Decken'!A84&lt;&gt;"",LEN('Dächer und Decken'!A84)&lt;10),'Dächer und Decken'!A84,"")</f>
        <v/>
      </c>
      <c r="B74" s="66" t="str">
        <f t="array" ref="B74">IF(ROWS(B$1:B74)&gt;SUMPRODUCT(--(A:A&lt;&gt;"")),"",INDEX(A:A,SMALL(IF(A$1:A$200&lt;&gt;"",ROW(A$1:A$200)),ROWS(B$1:B74))))</f>
        <v/>
      </c>
    </row>
    <row r="75" spans="1:2" x14ac:dyDescent="0.2">
      <c r="A75" s="66" t="str">
        <f>IF(AND('Dächer und Decken'!A85&lt;&gt;"",LEN('Dächer und Decken'!A85)&lt;10),'Dächer und Decken'!A85,"")</f>
        <v/>
      </c>
      <c r="B75" s="66" t="str">
        <f t="array" ref="B75">IF(ROWS(B$1:B75)&gt;SUMPRODUCT(--(A:A&lt;&gt;"")),"",INDEX(A:A,SMALL(IF(A$1:A$200&lt;&gt;"",ROW(A$1:A$200)),ROWS(B$1:B75))))</f>
        <v/>
      </c>
    </row>
    <row r="76" spans="1:2" x14ac:dyDescent="0.2">
      <c r="A76" s="66" t="str">
        <f>IF(AND('Dächer und Decken'!A86&lt;&gt;"",LEN('Dächer und Decken'!A86)&lt;10),'Dächer und Decken'!A86,"")</f>
        <v/>
      </c>
      <c r="B76" s="66" t="str">
        <f t="array" ref="B76">IF(ROWS(B$1:B76)&gt;SUMPRODUCT(--(A:A&lt;&gt;"")),"",INDEX(A:A,SMALL(IF(A$1:A$200&lt;&gt;"",ROW(A$1:A$200)),ROWS(B$1:B76))))</f>
        <v/>
      </c>
    </row>
    <row r="77" spans="1:2" x14ac:dyDescent="0.2">
      <c r="A77" s="66" t="str">
        <f>IF(AND('Dächer und Decken'!A87&lt;&gt;"",LEN('Dächer und Decken'!A87)&lt;10),'Dächer und Decken'!A87,"")</f>
        <v/>
      </c>
      <c r="B77" s="66" t="str">
        <f t="array" ref="B77">IF(ROWS(B$1:B77)&gt;SUMPRODUCT(--(A:A&lt;&gt;"")),"",INDEX(A:A,SMALL(IF(A$1:A$200&lt;&gt;"",ROW(A$1:A$200)),ROWS(B$1:B77))))</f>
        <v/>
      </c>
    </row>
    <row r="78" spans="1:2" x14ac:dyDescent="0.2">
      <c r="A78" s="66" t="str">
        <f>IF(AND('Dächer und Decken'!A88&lt;&gt;"",LEN('Dächer und Decken'!A88)&lt;10),'Dächer und Decken'!A88,"")</f>
        <v/>
      </c>
      <c r="B78" s="66" t="str">
        <f t="array" ref="B78">IF(ROWS(B$1:B78)&gt;SUMPRODUCT(--(A:A&lt;&gt;"")),"",INDEX(A:A,SMALL(IF(A$1:A$200&lt;&gt;"",ROW(A$1:A$200)),ROWS(B$1:B78))))</f>
        <v/>
      </c>
    </row>
    <row r="79" spans="1:2" x14ac:dyDescent="0.2">
      <c r="A79" s="66" t="str">
        <f>IF(AND('Dächer und Decken'!A89&lt;&gt;"",LEN('Dächer und Decken'!A89)&lt;10),'Dächer und Decken'!A89,"")</f>
        <v/>
      </c>
      <c r="B79" s="66" t="str">
        <f t="array" ref="B79">IF(ROWS(B$1:B79)&gt;SUMPRODUCT(--(A:A&lt;&gt;"")),"",INDEX(A:A,SMALL(IF(A$1:A$200&lt;&gt;"",ROW(A$1:A$200)),ROWS(B$1:B79))))</f>
        <v/>
      </c>
    </row>
    <row r="80" spans="1:2" x14ac:dyDescent="0.2">
      <c r="A80" s="66" t="str">
        <f>IF(AND('Dächer und Decken'!A90&lt;&gt;"",LEN('Dächer und Decken'!A90)&lt;10),'Dächer und Decken'!A90,"")</f>
        <v/>
      </c>
      <c r="B80" s="66" t="str">
        <f t="array" ref="B80">IF(ROWS(B$1:B80)&gt;SUMPRODUCT(--(A:A&lt;&gt;"")),"",INDEX(A:A,SMALL(IF(A$1:A$200&lt;&gt;"",ROW(A$1:A$200)),ROWS(B$1:B80))))</f>
        <v/>
      </c>
    </row>
    <row r="81" spans="1:2" x14ac:dyDescent="0.2">
      <c r="A81" s="66" t="str">
        <f>IF(AND('Dächer und Decken'!A91&lt;&gt;"",LEN('Dächer und Decken'!A91)&lt;10),'Dächer und Decken'!A91,"")</f>
        <v/>
      </c>
      <c r="B81" s="66" t="str">
        <f t="array" ref="B81">IF(ROWS(B$1:B81)&gt;SUMPRODUCT(--(A:A&lt;&gt;"")),"",INDEX(A:A,SMALL(IF(A$1:A$200&lt;&gt;"",ROW(A$1:A$200)),ROWS(B$1:B81))))</f>
        <v/>
      </c>
    </row>
    <row r="82" spans="1:2" x14ac:dyDescent="0.2">
      <c r="A82" s="66" t="str">
        <f>IF(AND('Dächer und Decken'!A92&lt;&gt;"",LEN('Dächer und Decken'!A92)&lt;10),'Dächer und Decken'!A92,"")</f>
        <v/>
      </c>
      <c r="B82" s="66" t="str">
        <f t="array" ref="B82">IF(ROWS(B$1:B82)&gt;SUMPRODUCT(--(A:A&lt;&gt;"")),"",INDEX(A:A,SMALL(IF(A$1:A$200&lt;&gt;"",ROW(A$1:A$200)),ROWS(B$1:B82))))</f>
        <v/>
      </c>
    </row>
    <row r="83" spans="1:2" x14ac:dyDescent="0.2">
      <c r="A83" s="66" t="str">
        <f>IF(AND('Dächer und Decken'!A93&lt;&gt;"",LEN('Dächer und Decken'!A93)&lt;10),'Dächer und Decken'!A93,"")</f>
        <v/>
      </c>
      <c r="B83" s="66" t="str">
        <f t="array" ref="B83">IF(ROWS(B$1:B83)&gt;SUMPRODUCT(--(A:A&lt;&gt;"")),"",INDEX(A:A,SMALL(IF(A$1:A$200&lt;&gt;"",ROW(A$1:A$200)),ROWS(B$1:B83))))</f>
        <v/>
      </c>
    </row>
    <row r="84" spans="1:2" x14ac:dyDescent="0.2">
      <c r="A84" s="66" t="str">
        <f>IF(AND('Dächer und Decken'!A94&lt;&gt;"",LEN('Dächer und Decken'!A94)&lt;10),'Dächer und Decken'!A94,"")</f>
        <v/>
      </c>
      <c r="B84" s="66" t="str">
        <f t="array" ref="B84">IF(ROWS(B$1:B84)&gt;SUMPRODUCT(--(A:A&lt;&gt;"")),"",INDEX(A:A,SMALL(IF(A$1:A$200&lt;&gt;"",ROW(A$1:A$200)),ROWS(B$1:B84))))</f>
        <v/>
      </c>
    </row>
    <row r="85" spans="1:2" x14ac:dyDescent="0.2">
      <c r="A85" s="66" t="str">
        <f>IF(AND('Dächer und Decken'!A95&lt;&gt;"",LEN('Dächer und Decken'!A95)&lt;10),'Dächer und Decken'!A95,"")</f>
        <v/>
      </c>
      <c r="B85" s="66" t="str">
        <f t="array" ref="B85">IF(ROWS(B$1:B85)&gt;SUMPRODUCT(--(A:A&lt;&gt;"")),"",INDEX(A:A,SMALL(IF(A$1:A$200&lt;&gt;"",ROW(A$1:A$200)),ROWS(B$1:B85))))</f>
        <v/>
      </c>
    </row>
    <row r="86" spans="1:2" x14ac:dyDescent="0.2">
      <c r="A86" s="66" t="str">
        <f>IF(AND('Dächer und Decken'!A96&lt;&gt;"",LEN('Dächer und Decken'!A96)&lt;10),'Dächer und Decken'!A96,"")</f>
        <v/>
      </c>
      <c r="B86" s="66" t="str">
        <f t="array" ref="B86">IF(ROWS(B$1:B86)&gt;SUMPRODUCT(--(A:A&lt;&gt;"")),"",INDEX(A:A,SMALL(IF(A$1:A$200&lt;&gt;"",ROW(A$1:A$200)),ROWS(B$1:B86))))</f>
        <v/>
      </c>
    </row>
    <row r="87" spans="1:2" x14ac:dyDescent="0.2">
      <c r="A87" s="66" t="str">
        <f>IF(AND('Dächer und Decken'!A97&lt;&gt;"",LEN('Dächer und Decken'!A97)&lt;10),'Dächer und Decken'!A97,"")</f>
        <v/>
      </c>
      <c r="B87" s="66" t="str">
        <f t="array" ref="B87">IF(ROWS(B$1:B87)&gt;SUMPRODUCT(--(A:A&lt;&gt;"")),"",INDEX(A:A,SMALL(IF(A$1:A$200&lt;&gt;"",ROW(A$1:A$200)),ROWS(B$1:B87))))</f>
        <v/>
      </c>
    </row>
    <row r="88" spans="1:2" x14ac:dyDescent="0.2">
      <c r="A88" s="66" t="str">
        <f>IF(AND('Dächer und Decken'!A98&lt;&gt;"",LEN('Dächer und Decken'!A98)&lt;10),'Dächer und Decken'!A98,"")</f>
        <v/>
      </c>
      <c r="B88" s="66" t="str">
        <f t="array" ref="B88">IF(ROWS(B$1:B88)&gt;SUMPRODUCT(--(A:A&lt;&gt;"")),"",INDEX(A:A,SMALL(IF(A$1:A$200&lt;&gt;"",ROW(A$1:A$200)),ROWS(B$1:B88))))</f>
        <v/>
      </c>
    </row>
    <row r="89" spans="1:2" x14ac:dyDescent="0.2">
      <c r="A89" s="66" t="str">
        <f>IF(AND('Dächer und Decken'!A99&lt;&gt;"",LEN('Dächer und Decken'!A99)&lt;10),'Dächer und Decken'!A99,"")</f>
        <v/>
      </c>
      <c r="B89" s="66" t="str">
        <f t="array" ref="B89">IF(ROWS(B$1:B89)&gt;SUMPRODUCT(--(A:A&lt;&gt;"")),"",INDEX(A:A,SMALL(IF(A$1:A$200&lt;&gt;"",ROW(A$1:A$200)),ROWS(B$1:B89))))</f>
        <v/>
      </c>
    </row>
    <row r="90" spans="1:2" x14ac:dyDescent="0.2">
      <c r="A90" s="66" t="str">
        <f>IF(AND('Dächer und Decken'!A100&lt;&gt;"",LEN('Dächer und Decken'!A100)&lt;10),'Dächer und Decken'!A100,"")</f>
        <v/>
      </c>
      <c r="B90" s="66" t="str">
        <f t="array" ref="B90">IF(ROWS(B$1:B90)&gt;SUMPRODUCT(--(A:A&lt;&gt;"")),"",INDEX(A:A,SMALL(IF(A$1:A$200&lt;&gt;"",ROW(A$1:A$200)),ROWS(B$1:B90))))</f>
        <v/>
      </c>
    </row>
    <row r="91" spans="1:2" x14ac:dyDescent="0.2">
      <c r="A91" s="66" t="str">
        <f>IF(AND('Dächer und Decken'!A101&lt;&gt;"",LEN('Dächer und Decken'!A101)&lt;10),'Dächer und Decken'!A101,"")</f>
        <v/>
      </c>
      <c r="B91" s="66" t="str">
        <f t="array" ref="B91">IF(ROWS(B$1:B91)&gt;SUMPRODUCT(--(A:A&lt;&gt;"")),"",INDEX(A:A,SMALL(IF(A$1:A$200&lt;&gt;"",ROW(A$1:A$200)),ROWS(B$1:B91))))</f>
        <v/>
      </c>
    </row>
    <row r="92" spans="1:2" x14ac:dyDescent="0.2">
      <c r="A92" s="66" t="str">
        <f>IF(AND('Dächer und Decken'!A102&lt;&gt;"",LEN('Dächer und Decken'!A102)&lt;10),'Dächer und Decken'!A102,"")</f>
        <v/>
      </c>
      <c r="B92" s="66" t="str">
        <f t="array" ref="B92">IF(ROWS(B$1:B92)&gt;SUMPRODUCT(--(A:A&lt;&gt;"")),"",INDEX(A:A,SMALL(IF(A$1:A$200&lt;&gt;"",ROW(A$1:A$200)),ROWS(B$1:B92))))</f>
        <v/>
      </c>
    </row>
    <row r="93" spans="1:2" x14ac:dyDescent="0.2">
      <c r="A93" s="66" t="str">
        <f>IF(AND('Dächer und Decken'!A103&lt;&gt;"",LEN('Dächer und Decken'!A103)&lt;10),'Dächer und Decken'!A103,"")</f>
        <v/>
      </c>
      <c r="B93" s="66" t="str">
        <f t="array" ref="B93">IF(ROWS(B$1:B93)&gt;SUMPRODUCT(--(A:A&lt;&gt;"")),"",INDEX(A:A,SMALL(IF(A$1:A$200&lt;&gt;"",ROW(A$1:A$200)),ROWS(B$1:B93))))</f>
        <v/>
      </c>
    </row>
    <row r="94" spans="1:2" x14ac:dyDescent="0.2">
      <c r="A94" s="66" t="str">
        <f>IF(AND('Dächer und Decken'!A104&lt;&gt;"",LEN('Dächer und Decken'!A104)&lt;10),'Dächer und Decken'!A104,"")</f>
        <v/>
      </c>
      <c r="B94" s="66" t="str">
        <f t="array" ref="B94">IF(ROWS(B$1:B94)&gt;SUMPRODUCT(--(A:A&lt;&gt;"")),"",INDEX(A:A,SMALL(IF(A$1:A$200&lt;&gt;"",ROW(A$1:A$200)),ROWS(B$1:B94))))</f>
        <v/>
      </c>
    </row>
    <row r="95" spans="1:2" x14ac:dyDescent="0.2">
      <c r="A95" s="66" t="str">
        <f>IF(AND('Dächer und Decken'!A105&lt;&gt;"",LEN('Dächer und Decken'!A105)&lt;10),'Dächer und Decken'!A105,"")</f>
        <v/>
      </c>
      <c r="B95" s="66" t="str">
        <f t="array" ref="B95">IF(ROWS(B$1:B95)&gt;SUMPRODUCT(--(A:A&lt;&gt;"")),"",INDEX(A:A,SMALL(IF(A$1:A$200&lt;&gt;"",ROW(A$1:A$200)),ROWS(B$1:B95))))</f>
        <v/>
      </c>
    </row>
    <row r="96" spans="1:2" x14ac:dyDescent="0.2">
      <c r="A96" s="66" t="str">
        <f>IF(AND('Dächer und Decken'!A106&lt;&gt;"",LEN('Dächer und Decken'!A106)&lt;10),'Dächer und Decken'!A106,"")</f>
        <v/>
      </c>
      <c r="B96" s="66" t="str">
        <f t="array" ref="B96">IF(ROWS(B$1:B96)&gt;SUMPRODUCT(--(A:A&lt;&gt;"")),"",INDEX(A:A,SMALL(IF(A$1:A$200&lt;&gt;"",ROW(A$1:A$200)),ROWS(B$1:B96))))</f>
        <v/>
      </c>
    </row>
    <row r="97" spans="1:2" x14ac:dyDescent="0.2">
      <c r="A97" s="66" t="str">
        <f>IF(AND('Dächer und Decken'!A107&lt;&gt;"",LEN('Dächer und Decken'!A107)&lt;10),'Dächer und Decken'!A107,"")</f>
        <v/>
      </c>
      <c r="B97" s="66" t="str">
        <f t="array" ref="B97">IF(ROWS(B$1:B97)&gt;SUMPRODUCT(--(A:A&lt;&gt;"")),"",INDEX(A:A,SMALL(IF(A$1:A$200&lt;&gt;"",ROW(A$1:A$200)),ROWS(B$1:B97))))</f>
        <v/>
      </c>
    </row>
    <row r="98" spans="1:2" x14ac:dyDescent="0.2">
      <c r="A98" s="66" t="str">
        <f>IF(AND('Dächer und Decken'!A108&lt;&gt;"",LEN('Dächer und Decken'!A108)&lt;10),'Dächer und Decken'!A108,"")</f>
        <v/>
      </c>
      <c r="B98" s="66" t="str">
        <f t="array" ref="B98">IF(ROWS(B$1:B98)&gt;SUMPRODUCT(--(A:A&lt;&gt;"")),"",INDEX(A:A,SMALL(IF(A$1:A$200&lt;&gt;"",ROW(A$1:A$200)),ROWS(B$1:B98))))</f>
        <v/>
      </c>
    </row>
    <row r="99" spans="1:2" x14ac:dyDescent="0.2">
      <c r="A99" s="66" t="str">
        <f>IF(AND('Dächer und Decken'!A109&lt;&gt;"",LEN('Dächer und Decken'!A109)&lt;10),'Dächer und Decken'!A109,"")</f>
        <v/>
      </c>
      <c r="B99" s="66" t="str">
        <f t="array" ref="B99">IF(ROWS(B$1:B99)&gt;SUMPRODUCT(--(A:A&lt;&gt;"")),"",INDEX(A:A,SMALL(IF(A$1:A$200&lt;&gt;"",ROW(A$1:A$200)),ROWS(B$1:B99))))</f>
        <v/>
      </c>
    </row>
    <row r="100" spans="1:2" s="36" customFormat="1" ht="16" thickBot="1" x14ac:dyDescent="0.25">
      <c r="A100" s="66" t="str">
        <f>IF(AND('Dächer und Decken'!A110&lt;&gt;"",LEN('Dächer und Decken'!A110)&lt;10),'Dächer und Decken'!A110,"")</f>
        <v/>
      </c>
      <c r="B100" s="66" t="str">
        <f t="array" ref="B100">IF(ROWS(B$1:B100)&gt;SUMPRODUCT(--(A:A&lt;&gt;"")),"",INDEX(A:A,SMALL(IF(A$1:A$200&lt;&gt;"",ROW(A$1:A$200)),ROWS(B$1:B100))))</f>
        <v/>
      </c>
    </row>
    <row r="101" spans="1:2" ht="16" thickTop="1" x14ac:dyDescent="0.2">
      <c r="A101" s="66" t="str">
        <f>IF(AND(Wände!A11&lt;&gt;"",LEN(Wände!A11)&lt;10),Wände!A11,"")</f>
        <v/>
      </c>
      <c r="B101" s="66" t="str">
        <f t="array" ref="B101">IF(ROWS(B$1:B101)&gt;SUMPRODUCT(--(A:A&lt;&gt;"")),"",INDEX(A:A,SMALL(IF(A$1:A$200&lt;&gt;"",ROW(A$1:A$200)),ROWS(B$1:B101))))</f>
        <v/>
      </c>
    </row>
    <row r="102" spans="1:2" x14ac:dyDescent="0.2">
      <c r="A102" s="66" t="str">
        <f>IF(AND(Wände!A12&lt;&gt;"",LEN(Wände!A12)&lt;10),Wände!A12,"")</f>
        <v/>
      </c>
      <c r="B102" s="66" t="str">
        <f t="array" ref="B102">IF(ROWS(B$1:B102)&gt;SUMPRODUCT(--(A:A&lt;&gt;"")),"",INDEX(A:A,SMALL(IF(A$1:A$200&lt;&gt;"",ROW(A$1:A$200)),ROWS(B$1:B102))))</f>
        <v/>
      </c>
    </row>
    <row r="103" spans="1:2" x14ac:dyDescent="0.2">
      <c r="A103" s="66" t="str">
        <f>IF(AND(Wände!A13&lt;&gt;"",LEN(Wände!A13)&lt;10),Wände!A13,"")</f>
        <v/>
      </c>
      <c r="B103" s="66" t="str">
        <f t="array" ref="B103">IF(ROWS(B$1:B103)&gt;SUMPRODUCT(--(A:A&lt;&gt;"")),"",INDEX(A:A,SMALL(IF(A$1:A$200&lt;&gt;"",ROW(A$1:A$200)),ROWS(B$1:B103))))</f>
        <v/>
      </c>
    </row>
    <row r="104" spans="1:2" x14ac:dyDescent="0.2">
      <c r="A104" s="66" t="str">
        <f>IF(AND(Wände!A14&lt;&gt;"",LEN(Wände!A14)&lt;10),Wände!A14,"")</f>
        <v/>
      </c>
      <c r="B104" s="66" t="str">
        <f t="array" ref="B104">IF(ROWS(B$1:B104)&gt;SUMPRODUCT(--(A:A&lt;&gt;"")),"",INDEX(A:A,SMALL(IF(A$1:A$200&lt;&gt;"",ROW(A$1:A$200)),ROWS(B$1:B104))))</f>
        <v/>
      </c>
    </row>
    <row r="105" spans="1:2" x14ac:dyDescent="0.2">
      <c r="A105" s="66" t="str">
        <f>IF(AND(Wände!A15&lt;&gt;"",LEN(Wände!A15)&lt;10),Wände!A15,"")</f>
        <v/>
      </c>
      <c r="B105" s="66" t="str">
        <f t="array" ref="B105">IF(ROWS(B$1:B105)&gt;SUMPRODUCT(--(A:A&lt;&gt;"")),"",INDEX(A:A,SMALL(IF(A$1:A$200&lt;&gt;"",ROW(A$1:A$200)),ROWS(B$1:B105))))</f>
        <v/>
      </c>
    </row>
    <row r="106" spans="1:2" x14ac:dyDescent="0.2">
      <c r="A106" s="66" t="str">
        <f>IF(AND(Wände!A16&lt;&gt;"",LEN(Wände!A16)&lt;10),Wände!A16,"")</f>
        <v/>
      </c>
      <c r="B106" s="66" t="str">
        <f t="array" ref="B106">IF(ROWS(B$1:B106)&gt;SUMPRODUCT(--(A:A&lt;&gt;"")),"",INDEX(A:A,SMALL(IF(A$1:A$200&lt;&gt;"",ROW(A$1:A$200)),ROWS(B$1:B106))))</f>
        <v/>
      </c>
    </row>
    <row r="107" spans="1:2" x14ac:dyDescent="0.2">
      <c r="A107" s="66" t="str">
        <f>IF(AND(Wände!A17&lt;&gt;"",LEN(Wände!A17)&lt;10),Wände!A17,"")</f>
        <v/>
      </c>
      <c r="B107" s="66" t="str">
        <f t="array" ref="B107">IF(ROWS(B$1:B107)&gt;SUMPRODUCT(--(A:A&lt;&gt;"")),"",INDEX(A:A,SMALL(IF(A$1:A$200&lt;&gt;"",ROW(A$1:A$200)),ROWS(B$1:B107))))</f>
        <v/>
      </c>
    </row>
    <row r="108" spans="1:2" x14ac:dyDescent="0.2">
      <c r="A108" s="66" t="str">
        <f>IF(AND(Wände!A18&lt;&gt;"",LEN(Wände!A18)&lt;10),Wände!A18,"")</f>
        <v/>
      </c>
      <c r="B108" s="66" t="str">
        <f t="array" ref="B108">IF(ROWS(B$1:B108)&gt;SUMPRODUCT(--(A:A&lt;&gt;"")),"",INDEX(A:A,SMALL(IF(A$1:A$200&lt;&gt;"",ROW(A$1:A$200)),ROWS(B$1:B108))))</f>
        <v/>
      </c>
    </row>
    <row r="109" spans="1:2" x14ac:dyDescent="0.2">
      <c r="A109" s="66" t="str">
        <f>IF(AND(Wände!A19&lt;&gt;"",LEN(Wände!A19)&lt;10),Wände!A19,"")</f>
        <v/>
      </c>
      <c r="B109" s="66" t="str">
        <f t="array" ref="B109">IF(ROWS(B$1:B109)&gt;SUMPRODUCT(--(A:A&lt;&gt;"")),"",INDEX(A:A,SMALL(IF(A$1:A$200&lt;&gt;"",ROW(A$1:A$200)),ROWS(B$1:B109))))</f>
        <v/>
      </c>
    </row>
    <row r="110" spans="1:2" x14ac:dyDescent="0.2">
      <c r="A110" s="66" t="str">
        <f>IF(AND(Wände!A20&lt;&gt;"",LEN(Wände!A20)&lt;10),Wände!A20,"")</f>
        <v/>
      </c>
      <c r="B110" s="66" t="str">
        <f t="array" ref="B110">IF(ROWS(B$1:B110)&gt;SUMPRODUCT(--(A:A&lt;&gt;"")),"",INDEX(A:A,SMALL(IF(A$1:A$200&lt;&gt;"",ROW(A$1:A$200)),ROWS(B$1:B110))))</f>
        <v/>
      </c>
    </row>
    <row r="111" spans="1:2" x14ac:dyDescent="0.2">
      <c r="A111" s="66" t="str">
        <f>IF(AND(Wände!A21&lt;&gt;"",LEN(Wände!A21)&lt;10),Wände!A21,"")</f>
        <v/>
      </c>
      <c r="B111" s="66" t="str">
        <f t="array" ref="B111">IF(ROWS(B$1:B111)&gt;SUMPRODUCT(--(A:A&lt;&gt;"")),"",INDEX(A:A,SMALL(IF(A$1:A$200&lt;&gt;"",ROW(A$1:A$200)),ROWS(B$1:B111))))</f>
        <v/>
      </c>
    </row>
    <row r="112" spans="1:2" x14ac:dyDescent="0.2">
      <c r="A112" s="66" t="str">
        <f>IF(AND(Wände!A22&lt;&gt;"",LEN(Wände!A22)&lt;10),Wände!A22,"")</f>
        <v/>
      </c>
      <c r="B112" s="66" t="str">
        <f t="array" ref="B112">IF(ROWS(B$1:B112)&gt;SUMPRODUCT(--(A:A&lt;&gt;"")),"",INDEX(A:A,SMALL(IF(A$1:A$200&lt;&gt;"",ROW(A$1:A$200)),ROWS(B$1:B112))))</f>
        <v/>
      </c>
    </row>
    <row r="113" spans="1:2" x14ac:dyDescent="0.2">
      <c r="A113" s="66" t="str">
        <f>IF(AND(Wände!A23&lt;&gt;"",LEN(Wände!A23)&lt;10),Wände!A23,"")</f>
        <v/>
      </c>
      <c r="B113" s="66" t="str">
        <f t="array" ref="B113">IF(ROWS(B$1:B113)&gt;SUMPRODUCT(--(A:A&lt;&gt;"")),"",INDEX(A:A,SMALL(IF(A$1:A$200&lt;&gt;"",ROW(A$1:A$200)),ROWS(B$1:B113))))</f>
        <v/>
      </c>
    </row>
    <row r="114" spans="1:2" x14ac:dyDescent="0.2">
      <c r="A114" s="66" t="str">
        <f>IF(AND(Wände!A24&lt;&gt;"",LEN(Wände!A24)&lt;10),Wände!A24,"")</f>
        <v/>
      </c>
      <c r="B114" s="66" t="str">
        <f t="array" ref="B114">IF(ROWS(B$1:B114)&gt;SUMPRODUCT(--(A:A&lt;&gt;"")),"",INDEX(A:A,SMALL(IF(A$1:A$200&lt;&gt;"",ROW(A$1:A$200)),ROWS(B$1:B114))))</f>
        <v/>
      </c>
    </row>
    <row r="115" spans="1:2" x14ac:dyDescent="0.2">
      <c r="A115" s="66" t="str">
        <f>IF(AND(Wände!A25&lt;&gt;"",LEN(Wände!A25)&lt;10),Wände!A25,"")</f>
        <v/>
      </c>
      <c r="B115" s="66" t="str">
        <f t="array" ref="B115">IF(ROWS(B$1:B115)&gt;SUMPRODUCT(--(A:A&lt;&gt;"")),"",INDEX(A:A,SMALL(IF(A$1:A$200&lt;&gt;"",ROW(A$1:A$200)),ROWS(B$1:B115))))</f>
        <v/>
      </c>
    </row>
    <row r="116" spans="1:2" x14ac:dyDescent="0.2">
      <c r="A116" s="66" t="str">
        <f>IF(AND(Wände!A26&lt;&gt;"",LEN(Wände!A26)&lt;10),Wände!A26,"")</f>
        <v/>
      </c>
      <c r="B116" s="66" t="str">
        <f t="array" ref="B116">IF(ROWS(B$1:B116)&gt;SUMPRODUCT(--(A:A&lt;&gt;"")),"",INDEX(A:A,SMALL(IF(A$1:A$200&lt;&gt;"",ROW(A$1:A$200)),ROWS(B$1:B116))))</f>
        <v/>
      </c>
    </row>
    <row r="117" spans="1:2" x14ac:dyDescent="0.2">
      <c r="A117" s="66" t="str">
        <f>IF(AND(Wände!A27&lt;&gt;"",LEN(Wände!A27)&lt;10),Wände!A27,"")</f>
        <v/>
      </c>
      <c r="B117" s="66" t="str">
        <f t="array" ref="B117">IF(ROWS(B$1:B117)&gt;SUMPRODUCT(--(A:A&lt;&gt;"")),"",INDEX(A:A,SMALL(IF(A$1:A$200&lt;&gt;"",ROW(A$1:A$200)),ROWS(B$1:B117))))</f>
        <v/>
      </c>
    </row>
    <row r="118" spans="1:2" x14ac:dyDescent="0.2">
      <c r="A118" s="66" t="str">
        <f>IF(AND(Wände!A28&lt;&gt;"",LEN(Wände!A28)&lt;10),Wände!A28,"")</f>
        <v/>
      </c>
      <c r="B118" s="66" t="str">
        <f t="array" ref="B118">IF(ROWS(B$1:B118)&gt;SUMPRODUCT(--(A:A&lt;&gt;"")),"",INDEX(A:A,SMALL(IF(A$1:A$200&lt;&gt;"",ROW(A$1:A$200)),ROWS(B$1:B118))))</f>
        <v/>
      </c>
    </row>
    <row r="119" spans="1:2" x14ac:dyDescent="0.2">
      <c r="A119" s="66" t="str">
        <f>IF(AND(Wände!A29&lt;&gt;"",LEN(Wände!A29)&lt;10),Wände!A29,"")</f>
        <v/>
      </c>
      <c r="B119" s="66" t="str">
        <f t="array" ref="B119">IF(ROWS(B$1:B119)&gt;SUMPRODUCT(--(A:A&lt;&gt;"")),"",INDEX(A:A,SMALL(IF(A$1:A$200&lt;&gt;"",ROW(A$1:A$200)),ROWS(B$1:B119))))</f>
        <v/>
      </c>
    </row>
    <row r="120" spans="1:2" x14ac:dyDescent="0.2">
      <c r="A120" s="66" t="str">
        <f>IF(AND(Wände!A30&lt;&gt;"",LEN(Wände!A30)&lt;10),Wände!A30,"")</f>
        <v/>
      </c>
      <c r="B120" s="66" t="str">
        <f t="array" ref="B120">IF(ROWS(B$1:B120)&gt;SUMPRODUCT(--(A:A&lt;&gt;"")),"",INDEX(A:A,SMALL(IF(A$1:A$200&lt;&gt;"",ROW(A$1:A$200)),ROWS(B$1:B120))))</f>
        <v/>
      </c>
    </row>
    <row r="121" spans="1:2" x14ac:dyDescent="0.2">
      <c r="A121" s="66" t="str">
        <f>IF(AND(Wände!A31&lt;&gt;"",LEN(Wände!A31)&lt;10),Wände!A31,"")</f>
        <v/>
      </c>
      <c r="B121" s="66" t="str">
        <f t="array" ref="B121">IF(ROWS(B$1:B121)&gt;SUMPRODUCT(--(A:A&lt;&gt;"")),"",INDEX(A:A,SMALL(IF(A$1:A$200&lt;&gt;"",ROW(A$1:A$200)),ROWS(B$1:B121))))</f>
        <v/>
      </c>
    </row>
    <row r="122" spans="1:2" x14ac:dyDescent="0.2">
      <c r="A122" s="66" t="str">
        <f>IF(AND(Wände!A32&lt;&gt;"",LEN(Wände!A32)&lt;10),Wände!A32,"")</f>
        <v/>
      </c>
      <c r="B122" s="66" t="str">
        <f t="array" ref="B122">IF(ROWS(B$1:B122)&gt;SUMPRODUCT(--(A:A&lt;&gt;"")),"",INDEX(A:A,SMALL(IF(A$1:A$200&lt;&gt;"",ROW(A$1:A$200)),ROWS(B$1:B122))))</f>
        <v/>
      </c>
    </row>
    <row r="123" spans="1:2" x14ac:dyDescent="0.2">
      <c r="A123" s="66" t="str">
        <f>IF(AND(Wände!A33&lt;&gt;"",LEN(Wände!A33)&lt;10),Wände!A33,"")</f>
        <v/>
      </c>
      <c r="B123" s="66" t="str">
        <f t="array" ref="B123">IF(ROWS(B$1:B123)&gt;SUMPRODUCT(--(A:A&lt;&gt;"")),"",INDEX(A:A,SMALL(IF(A$1:A$200&lt;&gt;"",ROW(A$1:A$200)),ROWS(B$1:B123))))</f>
        <v/>
      </c>
    </row>
    <row r="124" spans="1:2" x14ac:dyDescent="0.2">
      <c r="A124" s="66" t="str">
        <f>IF(AND(Wände!A34&lt;&gt;"",LEN(Wände!A34)&lt;10),Wände!A34,"")</f>
        <v/>
      </c>
      <c r="B124" s="66" t="str">
        <f t="array" ref="B124">IF(ROWS(B$1:B124)&gt;SUMPRODUCT(--(A:A&lt;&gt;"")),"",INDEX(A:A,SMALL(IF(A$1:A$200&lt;&gt;"",ROW(A$1:A$200)),ROWS(B$1:B124))))</f>
        <v/>
      </c>
    </row>
    <row r="125" spans="1:2" x14ac:dyDescent="0.2">
      <c r="A125" s="66" t="str">
        <f>IF(AND(Wände!A35&lt;&gt;"",LEN(Wände!A35)&lt;10),Wände!A35,"")</f>
        <v/>
      </c>
      <c r="B125" s="66" t="str">
        <f t="array" ref="B125">IF(ROWS(B$1:B125)&gt;SUMPRODUCT(--(A:A&lt;&gt;"")),"",INDEX(A:A,SMALL(IF(A$1:A$200&lt;&gt;"",ROW(A$1:A$200)),ROWS(B$1:B125))))</f>
        <v/>
      </c>
    </row>
    <row r="126" spans="1:2" x14ac:dyDescent="0.2">
      <c r="A126" s="66" t="str">
        <f>IF(AND(Wände!A36&lt;&gt;"",LEN(Wände!A36)&lt;10),Wände!A36,"")</f>
        <v/>
      </c>
      <c r="B126" s="66" t="str">
        <f t="array" ref="B126">IF(ROWS(B$1:B126)&gt;SUMPRODUCT(--(A:A&lt;&gt;"")),"",INDEX(A:A,SMALL(IF(A$1:A$200&lt;&gt;"",ROW(A$1:A$200)),ROWS(B$1:B126))))</f>
        <v/>
      </c>
    </row>
    <row r="127" spans="1:2" x14ac:dyDescent="0.2">
      <c r="A127" s="66" t="str">
        <f>IF(AND(Wände!A37&lt;&gt;"",LEN(Wände!A37)&lt;10),Wände!A37,"")</f>
        <v/>
      </c>
      <c r="B127" s="66" t="str">
        <f t="array" ref="B127">IF(ROWS(B$1:B127)&gt;SUMPRODUCT(--(A:A&lt;&gt;"")),"",INDEX(A:A,SMALL(IF(A$1:A$200&lt;&gt;"",ROW(A$1:A$200)),ROWS(B$1:B127))))</f>
        <v/>
      </c>
    </row>
    <row r="128" spans="1:2" x14ac:dyDescent="0.2">
      <c r="A128" s="66" t="str">
        <f>IF(AND(Wände!A38&lt;&gt;"",LEN(Wände!A38)&lt;10),Wände!A38,"")</f>
        <v/>
      </c>
      <c r="B128" s="66" t="str">
        <f t="array" ref="B128">IF(ROWS(B$1:B128)&gt;SUMPRODUCT(--(A:A&lt;&gt;"")),"",INDEX(A:A,SMALL(IF(A$1:A$200&lt;&gt;"",ROW(A$1:A$200)),ROWS(B$1:B128))))</f>
        <v/>
      </c>
    </row>
    <row r="129" spans="1:2" x14ac:dyDescent="0.2">
      <c r="A129" s="66" t="str">
        <f>IF(AND(Wände!A39&lt;&gt;"",LEN(Wände!A39)&lt;10),Wände!A39,"")</f>
        <v/>
      </c>
      <c r="B129" s="66" t="str">
        <f t="array" ref="B129">IF(ROWS(B$1:B129)&gt;SUMPRODUCT(--(A:A&lt;&gt;"")),"",INDEX(A:A,SMALL(IF(A$1:A$200&lt;&gt;"",ROW(A$1:A$200)),ROWS(B$1:B129))))</f>
        <v/>
      </c>
    </row>
    <row r="130" spans="1:2" x14ac:dyDescent="0.2">
      <c r="A130" s="66" t="str">
        <f>IF(AND(Wände!A40&lt;&gt;"",LEN(Wände!A40)&lt;10),Wände!A40,"")</f>
        <v/>
      </c>
      <c r="B130" s="66" t="str">
        <f t="array" ref="B130">IF(ROWS(B$1:B130)&gt;SUMPRODUCT(--(A:A&lt;&gt;"")),"",INDEX(A:A,SMALL(IF(A$1:A$200&lt;&gt;"",ROW(A$1:A$200)),ROWS(B$1:B130))))</f>
        <v/>
      </c>
    </row>
    <row r="131" spans="1:2" x14ac:dyDescent="0.2">
      <c r="A131" s="66" t="str">
        <f>IF(AND(Wände!A41&lt;&gt;"",LEN(Wände!A41)&lt;10),Wände!A41,"")</f>
        <v/>
      </c>
      <c r="B131" s="66" t="str">
        <f t="array" ref="B131">IF(ROWS(B$1:B131)&gt;SUMPRODUCT(--(A:A&lt;&gt;"")),"",INDEX(A:A,SMALL(IF(A$1:A$200&lt;&gt;"",ROW(A$1:A$200)),ROWS(B$1:B131))))</f>
        <v/>
      </c>
    </row>
    <row r="132" spans="1:2" x14ac:dyDescent="0.2">
      <c r="A132" s="66" t="str">
        <f>IF(AND(Wände!A42&lt;&gt;"",LEN(Wände!A42)&lt;10),Wände!A42,"")</f>
        <v/>
      </c>
      <c r="B132" s="66" t="str">
        <f t="array" ref="B132">IF(ROWS(B$1:B132)&gt;SUMPRODUCT(--(A:A&lt;&gt;"")),"",INDEX(A:A,SMALL(IF(A$1:A$200&lt;&gt;"",ROW(A$1:A$200)),ROWS(B$1:B132))))</f>
        <v/>
      </c>
    </row>
    <row r="133" spans="1:2" x14ac:dyDescent="0.2">
      <c r="A133" s="66" t="str">
        <f>IF(AND(Wände!A43&lt;&gt;"",LEN(Wände!A43)&lt;10),Wände!A43,"")</f>
        <v/>
      </c>
      <c r="B133" s="66" t="str">
        <f t="array" ref="B133">IF(ROWS(B$1:B133)&gt;SUMPRODUCT(--(A:A&lt;&gt;"")),"",INDEX(A:A,SMALL(IF(A$1:A$200&lt;&gt;"",ROW(A$1:A$200)),ROWS(B$1:B133))))</f>
        <v/>
      </c>
    </row>
    <row r="134" spans="1:2" x14ac:dyDescent="0.2">
      <c r="A134" s="66" t="str">
        <f>IF(AND(Wände!A44&lt;&gt;"",LEN(Wände!A44)&lt;10),Wände!A44,"")</f>
        <v/>
      </c>
      <c r="B134" s="66" t="str">
        <f t="array" ref="B134">IF(ROWS(B$1:B134)&gt;SUMPRODUCT(--(A:A&lt;&gt;"")),"",INDEX(A:A,SMALL(IF(A$1:A$200&lt;&gt;"",ROW(A$1:A$200)),ROWS(B$1:B134))))</f>
        <v/>
      </c>
    </row>
    <row r="135" spans="1:2" x14ac:dyDescent="0.2">
      <c r="A135" s="66" t="str">
        <f>IF(AND(Wände!A45&lt;&gt;"",LEN(Wände!A45)&lt;10),Wände!A45,"")</f>
        <v/>
      </c>
      <c r="B135" s="66" t="str">
        <f t="array" ref="B135">IF(ROWS(B$1:B135)&gt;SUMPRODUCT(--(A:A&lt;&gt;"")),"",INDEX(A:A,SMALL(IF(A$1:A$200&lt;&gt;"",ROW(A$1:A$200)),ROWS(B$1:B135))))</f>
        <v/>
      </c>
    </row>
    <row r="136" spans="1:2" x14ac:dyDescent="0.2">
      <c r="A136" s="66" t="str">
        <f>IF(AND(Wände!A46&lt;&gt;"",LEN(Wände!A46)&lt;10),Wände!A46,"")</f>
        <v/>
      </c>
      <c r="B136" s="66" t="str">
        <f t="array" ref="B136">IF(ROWS(B$1:B136)&gt;SUMPRODUCT(--(A:A&lt;&gt;"")),"",INDEX(A:A,SMALL(IF(A$1:A$200&lt;&gt;"",ROW(A$1:A$200)),ROWS(B$1:B136))))</f>
        <v/>
      </c>
    </row>
    <row r="137" spans="1:2" x14ac:dyDescent="0.2">
      <c r="A137" s="66" t="str">
        <f>IF(AND(Wände!A47&lt;&gt;"",LEN(Wände!A47)&lt;10),Wände!A47,"")</f>
        <v/>
      </c>
      <c r="B137" s="66" t="str">
        <f t="array" ref="B137">IF(ROWS(B$1:B137)&gt;SUMPRODUCT(--(A:A&lt;&gt;"")),"",INDEX(A:A,SMALL(IF(A$1:A$200&lt;&gt;"",ROW(A$1:A$200)),ROWS(B$1:B137))))</f>
        <v/>
      </c>
    </row>
    <row r="138" spans="1:2" x14ac:dyDescent="0.2">
      <c r="A138" s="66" t="str">
        <f>IF(AND(Wände!A48&lt;&gt;"",LEN(Wände!A48)&lt;10),Wände!A48,"")</f>
        <v/>
      </c>
      <c r="B138" s="66" t="str">
        <f t="array" ref="B138">IF(ROWS(B$1:B138)&gt;SUMPRODUCT(--(A:A&lt;&gt;"")),"",INDEX(A:A,SMALL(IF(A$1:A$200&lt;&gt;"",ROW(A$1:A$200)),ROWS(B$1:B138))))</f>
        <v/>
      </c>
    </row>
    <row r="139" spans="1:2" x14ac:dyDescent="0.2">
      <c r="A139" s="66" t="str">
        <f>IF(AND(Wände!A49&lt;&gt;"",LEN(Wände!A49)&lt;10),Wände!A49,"")</f>
        <v/>
      </c>
      <c r="B139" s="66" t="str">
        <f t="array" ref="B139">IF(ROWS(B$1:B139)&gt;SUMPRODUCT(--(A:A&lt;&gt;"")),"",INDEX(A:A,SMALL(IF(A$1:A$200&lt;&gt;"",ROW(A$1:A$200)),ROWS(B$1:B139))))</f>
        <v/>
      </c>
    </row>
    <row r="140" spans="1:2" x14ac:dyDescent="0.2">
      <c r="A140" s="66" t="str">
        <f>IF(AND(Wände!A50&lt;&gt;"",LEN(Wände!A50)&lt;10),Wände!A50,"")</f>
        <v/>
      </c>
      <c r="B140" s="66" t="str">
        <f t="array" ref="B140">IF(ROWS(B$1:B140)&gt;SUMPRODUCT(--(A:A&lt;&gt;"")),"",INDEX(A:A,SMALL(IF(A$1:A$200&lt;&gt;"",ROW(A$1:A$200)),ROWS(B$1:B140))))</f>
        <v/>
      </c>
    </row>
    <row r="141" spans="1:2" x14ac:dyDescent="0.2">
      <c r="A141" s="66" t="str">
        <f>IF(AND(Wände!A51&lt;&gt;"",LEN(Wände!A51)&lt;10),Wände!A51,"")</f>
        <v/>
      </c>
      <c r="B141" s="66" t="str">
        <f t="array" ref="B141">IF(ROWS(B$1:B141)&gt;SUMPRODUCT(--(A:A&lt;&gt;"")),"",INDEX(A:A,SMALL(IF(A$1:A$200&lt;&gt;"",ROW(A$1:A$200)),ROWS(B$1:B141))))</f>
        <v/>
      </c>
    </row>
    <row r="142" spans="1:2" x14ac:dyDescent="0.2">
      <c r="A142" s="66" t="str">
        <f>IF(AND(Wände!A52&lt;&gt;"",LEN(Wände!A52)&lt;10),Wände!A52,"")</f>
        <v/>
      </c>
      <c r="B142" s="66" t="str">
        <f t="array" ref="B142">IF(ROWS(B$1:B142)&gt;SUMPRODUCT(--(A:A&lt;&gt;"")),"",INDEX(A:A,SMALL(IF(A$1:A$200&lt;&gt;"",ROW(A$1:A$200)),ROWS(B$1:B142))))</f>
        <v/>
      </c>
    </row>
    <row r="143" spans="1:2" x14ac:dyDescent="0.2">
      <c r="A143" s="66" t="str">
        <f>IF(AND(Wände!A53&lt;&gt;"",LEN(Wände!A53)&lt;10),Wände!A53,"")</f>
        <v/>
      </c>
      <c r="B143" s="66" t="str">
        <f t="array" ref="B143">IF(ROWS(B$1:B143)&gt;SUMPRODUCT(--(A:A&lt;&gt;"")),"",INDEX(A:A,SMALL(IF(A$1:A$200&lt;&gt;"",ROW(A$1:A$200)),ROWS(B$1:B143))))</f>
        <v/>
      </c>
    </row>
    <row r="144" spans="1:2" x14ac:dyDescent="0.2">
      <c r="A144" s="66" t="str">
        <f>IF(AND(Wände!A54&lt;&gt;"",LEN(Wände!A54)&lt;10),Wände!A54,"")</f>
        <v/>
      </c>
      <c r="B144" s="66" t="str">
        <f t="array" ref="B144">IF(ROWS(B$1:B144)&gt;SUMPRODUCT(--(A:A&lt;&gt;"")),"",INDEX(A:A,SMALL(IF(A$1:A$200&lt;&gt;"",ROW(A$1:A$200)),ROWS(B$1:B144))))</f>
        <v/>
      </c>
    </row>
    <row r="145" spans="1:2" x14ac:dyDescent="0.2">
      <c r="A145" s="66" t="str">
        <f>IF(AND(Wände!A55&lt;&gt;"",LEN(Wände!A55)&lt;10),Wände!A55,"")</f>
        <v/>
      </c>
      <c r="B145" s="66" t="str">
        <f t="array" ref="B145">IF(ROWS(B$1:B145)&gt;SUMPRODUCT(--(A:A&lt;&gt;"")),"",INDEX(A:A,SMALL(IF(A$1:A$200&lt;&gt;"",ROW(A$1:A$200)),ROWS(B$1:B145))))</f>
        <v/>
      </c>
    </row>
    <row r="146" spans="1:2" x14ac:dyDescent="0.2">
      <c r="A146" s="66" t="str">
        <f>IF(AND(Wände!A56&lt;&gt;"",LEN(Wände!A56)&lt;10),Wände!A56,"")</f>
        <v/>
      </c>
      <c r="B146" s="66" t="str">
        <f t="array" ref="B146">IF(ROWS(B$1:B146)&gt;SUMPRODUCT(--(A:A&lt;&gt;"")),"",INDEX(A:A,SMALL(IF(A$1:A$200&lt;&gt;"",ROW(A$1:A$200)),ROWS(B$1:B146))))</f>
        <v/>
      </c>
    </row>
    <row r="147" spans="1:2" x14ac:dyDescent="0.2">
      <c r="A147" s="66" t="str">
        <f>IF(AND(Wände!A57&lt;&gt;"",LEN(Wände!A57)&lt;10),Wände!A57,"")</f>
        <v/>
      </c>
      <c r="B147" s="66" t="str">
        <f t="array" ref="B147">IF(ROWS(B$1:B147)&gt;SUMPRODUCT(--(A:A&lt;&gt;"")),"",INDEX(A:A,SMALL(IF(A$1:A$200&lt;&gt;"",ROW(A$1:A$200)),ROWS(B$1:B147))))</f>
        <v/>
      </c>
    </row>
    <row r="148" spans="1:2" x14ac:dyDescent="0.2">
      <c r="A148" s="66" t="str">
        <f>IF(AND(Wände!A58&lt;&gt;"",LEN(Wände!A58)&lt;10),Wände!A58,"")</f>
        <v/>
      </c>
      <c r="B148" s="66" t="str">
        <f t="array" ref="B148">IF(ROWS(B$1:B148)&gt;SUMPRODUCT(--(A:A&lt;&gt;"")),"",INDEX(A:A,SMALL(IF(A$1:A$200&lt;&gt;"",ROW(A$1:A$200)),ROWS(B$1:B148))))</f>
        <v/>
      </c>
    </row>
    <row r="149" spans="1:2" x14ac:dyDescent="0.2">
      <c r="A149" s="66" t="str">
        <f>IF(AND(Wände!A59&lt;&gt;"",LEN(Wände!A59)&lt;10),Wände!A59,"")</f>
        <v/>
      </c>
      <c r="B149" s="66" t="str">
        <f t="array" ref="B149">IF(ROWS(B$1:B149)&gt;SUMPRODUCT(--(A:A&lt;&gt;"")),"",INDEX(A:A,SMALL(IF(A$1:A$200&lt;&gt;"",ROW(A$1:A$200)),ROWS(B$1:B149))))</f>
        <v/>
      </c>
    </row>
    <row r="150" spans="1:2" x14ac:dyDescent="0.2">
      <c r="A150" s="66" t="str">
        <f>IF(AND(Wände!A60&lt;&gt;"",LEN(Wände!A60)&lt;10),Wände!A60,"")</f>
        <v/>
      </c>
      <c r="B150" s="66" t="str">
        <f t="array" ref="B150">IF(ROWS(B$1:B150)&gt;SUMPRODUCT(--(A:A&lt;&gt;"")),"",INDEX(A:A,SMALL(IF(A$1:A$200&lt;&gt;"",ROW(A$1:A$200)),ROWS(B$1:B150))))</f>
        <v/>
      </c>
    </row>
    <row r="151" spans="1:2" x14ac:dyDescent="0.2">
      <c r="A151" s="66" t="str">
        <f>IF(AND(Wände!A61&lt;&gt;"",LEN(Wände!A61)&lt;10),Wände!A61,"")</f>
        <v/>
      </c>
      <c r="B151" s="66" t="str">
        <f t="array" ref="B151">IF(ROWS(B$1:B151)&gt;SUMPRODUCT(--(A:A&lt;&gt;"")),"",INDEX(A:A,SMALL(IF(A$1:A$200&lt;&gt;"",ROW(A$1:A$200)),ROWS(B$1:B151))))</f>
        <v/>
      </c>
    </row>
    <row r="152" spans="1:2" x14ac:dyDescent="0.2">
      <c r="A152" s="66" t="str">
        <f>IF(AND(Wände!A62&lt;&gt;"",LEN(Wände!A62)&lt;10),Wände!A62,"")</f>
        <v/>
      </c>
      <c r="B152" s="66" t="str">
        <f t="array" ref="B152">IF(ROWS(B$1:B152)&gt;SUMPRODUCT(--(A:A&lt;&gt;"")),"",INDEX(A:A,SMALL(IF(A$1:A$200&lt;&gt;"",ROW(A$1:A$200)),ROWS(B$1:B152))))</f>
        <v/>
      </c>
    </row>
    <row r="153" spans="1:2" x14ac:dyDescent="0.2">
      <c r="A153" s="66" t="str">
        <f>IF(AND(Wände!A63&lt;&gt;"",LEN(Wände!A63)&lt;10),Wände!A63,"")</f>
        <v/>
      </c>
      <c r="B153" s="66" t="str">
        <f t="array" ref="B153">IF(ROWS(B$1:B153)&gt;SUMPRODUCT(--(A:A&lt;&gt;"")),"",INDEX(A:A,SMALL(IF(A$1:A$200&lt;&gt;"",ROW(A$1:A$200)),ROWS(B$1:B153))))</f>
        <v/>
      </c>
    </row>
    <row r="154" spans="1:2" x14ac:dyDescent="0.2">
      <c r="A154" s="66" t="str">
        <f>IF(AND(Wände!A64&lt;&gt;"",LEN(Wände!A64)&lt;10),Wände!A64,"")</f>
        <v/>
      </c>
      <c r="B154" s="66" t="str">
        <f t="array" ref="B154">IF(ROWS(B$1:B154)&gt;SUMPRODUCT(--(A:A&lt;&gt;"")),"",INDEX(A:A,SMALL(IF(A$1:A$200&lt;&gt;"",ROW(A$1:A$200)),ROWS(B$1:B154))))</f>
        <v/>
      </c>
    </row>
    <row r="155" spans="1:2" x14ac:dyDescent="0.2">
      <c r="A155" s="66" t="str">
        <f>IF(AND(Wände!A65&lt;&gt;"",LEN(Wände!A65)&lt;10),Wände!A65,"")</f>
        <v/>
      </c>
      <c r="B155" s="66" t="str">
        <f t="array" ref="B155">IF(ROWS(B$1:B155)&gt;SUMPRODUCT(--(A:A&lt;&gt;"")),"",INDEX(A:A,SMALL(IF(A$1:A$200&lt;&gt;"",ROW(A$1:A$200)),ROWS(B$1:B155))))</f>
        <v/>
      </c>
    </row>
    <row r="156" spans="1:2" x14ac:dyDescent="0.2">
      <c r="A156" s="66" t="str">
        <f>IF(AND(Wände!A66&lt;&gt;"",LEN(Wände!A66)&lt;10),Wände!A66,"")</f>
        <v/>
      </c>
      <c r="B156" s="66" t="str">
        <f t="array" ref="B156">IF(ROWS(B$1:B156)&gt;SUMPRODUCT(--(A:A&lt;&gt;"")),"",INDEX(A:A,SMALL(IF(A$1:A$200&lt;&gt;"",ROW(A$1:A$200)),ROWS(B$1:B156))))</f>
        <v/>
      </c>
    </row>
    <row r="157" spans="1:2" x14ac:dyDescent="0.2">
      <c r="A157" s="66" t="str">
        <f>IF(AND(Wände!A67&lt;&gt;"",LEN(Wände!A67)&lt;10),Wände!A67,"")</f>
        <v/>
      </c>
      <c r="B157" s="66" t="str">
        <f t="array" ref="B157">IF(ROWS(B$1:B157)&gt;SUMPRODUCT(--(A:A&lt;&gt;"")),"",INDEX(A:A,SMALL(IF(A$1:A$200&lt;&gt;"",ROW(A$1:A$200)),ROWS(B$1:B157))))</f>
        <v/>
      </c>
    </row>
    <row r="158" spans="1:2" x14ac:dyDescent="0.2">
      <c r="A158" s="66" t="str">
        <f>IF(AND(Wände!A68&lt;&gt;"",LEN(Wände!A68)&lt;10),Wände!A68,"")</f>
        <v/>
      </c>
      <c r="B158" s="66" t="str">
        <f t="array" ref="B158">IF(ROWS(B$1:B158)&gt;SUMPRODUCT(--(A:A&lt;&gt;"")),"",INDEX(A:A,SMALL(IF(A$1:A$200&lt;&gt;"",ROW(A$1:A$200)),ROWS(B$1:B158))))</f>
        <v/>
      </c>
    </row>
    <row r="159" spans="1:2" x14ac:dyDescent="0.2">
      <c r="A159" s="66" t="str">
        <f>IF(AND(Wände!A69&lt;&gt;"",LEN(Wände!A69)&lt;10),Wände!A69,"")</f>
        <v/>
      </c>
      <c r="B159" s="66" t="str">
        <f t="array" ref="B159">IF(ROWS(B$1:B159)&gt;SUMPRODUCT(--(A:A&lt;&gt;"")),"",INDEX(A:A,SMALL(IF(A$1:A$200&lt;&gt;"",ROW(A$1:A$200)),ROWS(B$1:B159))))</f>
        <v/>
      </c>
    </row>
    <row r="160" spans="1:2" x14ac:dyDescent="0.2">
      <c r="A160" s="66" t="str">
        <f>IF(AND(Wände!A70&lt;&gt;"",LEN(Wände!A70)&lt;10),Wände!A70,"")</f>
        <v/>
      </c>
      <c r="B160" s="66" t="str">
        <f t="array" ref="B160">IF(ROWS(B$1:B160)&gt;SUMPRODUCT(--(A:A&lt;&gt;"")),"",INDEX(A:A,SMALL(IF(A$1:A$200&lt;&gt;"",ROW(A$1:A$200)),ROWS(B$1:B160))))</f>
        <v/>
      </c>
    </row>
    <row r="161" spans="1:2" x14ac:dyDescent="0.2">
      <c r="A161" s="66" t="str">
        <f>IF(AND(Wände!A71&lt;&gt;"",LEN(Wände!A71)&lt;10),Wände!A71,"")</f>
        <v/>
      </c>
      <c r="B161" s="66" t="str">
        <f t="array" ref="B161">IF(ROWS(B$1:B161)&gt;SUMPRODUCT(--(A:A&lt;&gt;"")),"",INDEX(A:A,SMALL(IF(A$1:A$200&lt;&gt;"",ROW(A$1:A$200)),ROWS(B$1:B161))))</f>
        <v/>
      </c>
    </row>
    <row r="162" spans="1:2" x14ac:dyDescent="0.2">
      <c r="A162" s="66" t="str">
        <f>IF(AND(Wände!A72&lt;&gt;"",LEN(Wände!A72)&lt;10),Wände!A72,"")</f>
        <v/>
      </c>
      <c r="B162" s="66" t="str">
        <f t="array" ref="B162">IF(ROWS(B$1:B162)&gt;SUMPRODUCT(--(A:A&lt;&gt;"")),"",INDEX(A:A,SMALL(IF(A$1:A$200&lt;&gt;"",ROW(A$1:A$200)),ROWS(B$1:B162))))</f>
        <v/>
      </c>
    </row>
    <row r="163" spans="1:2" x14ac:dyDescent="0.2">
      <c r="A163" s="66" t="str">
        <f>IF(AND(Wände!A73&lt;&gt;"",LEN(Wände!A73)&lt;10),Wände!A73,"")</f>
        <v/>
      </c>
      <c r="B163" s="66" t="str">
        <f t="array" ref="B163">IF(ROWS(B$1:B163)&gt;SUMPRODUCT(--(A:A&lt;&gt;"")),"",INDEX(A:A,SMALL(IF(A$1:A$200&lt;&gt;"",ROW(A$1:A$200)),ROWS(B$1:B163))))</f>
        <v/>
      </c>
    </row>
    <row r="164" spans="1:2" x14ac:dyDescent="0.2">
      <c r="A164" s="66" t="str">
        <f>IF(AND(Wände!A74&lt;&gt;"",LEN(Wände!A74)&lt;10),Wände!A74,"")</f>
        <v/>
      </c>
      <c r="B164" s="66" t="str">
        <f t="array" ref="B164">IF(ROWS(B$1:B164)&gt;SUMPRODUCT(--(A:A&lt;&gt;"")),"",INDEX(A:A,SMALL(IF(A$1:A$200&lt;&gt;"",ROW(A$1:A$200)),ROWS(B$1:B164))))</f>
        <v/>
      </c>
    </row>
    <row r="165" spans="1:2" x14ac:dyDescent="0.2">
      <c r="A165" s="66" t="str">
        <f>IF(AND(Wände!A75&lt;&gt;"",LEN(Wände!A75)&lt;10),Wände!A75,"")</f>
        <v/>
      </c>
      <c r="B165" s="66" t="str">
        <f t="array" ref="B165">IF(ROWS(B$1:B165)&gt;SUMPRODUCT(--(A:A&lt;&gt;"")),"",INDEX(A:A,SMALL(IF(A$1:A$200&lt;&gt;"",ROW(A$1:A$200)),ROWS(B$1:B165))))</f>
        <v/>
      </c>
    </row>
    <row r="166" spans="1:2" x14ac:dyDescent="0.2">
      <c r="A166" s="66" t="str">
        <f>IF(AND(Wände!A76&lt;&gt;"",LEN(Wände!A76)&lt;10),Wände!A76,"")</f>
        <v/>
      </c>
      <c r="B166" s="66" t="str">
        <f t="array" ref="B166">IF(ROWS(B$1:B166)&gt;SUMPRODUCT(--(A:A&lt;&gt;"")),"",INDEX(A:A,SMALL(IF(A$1:A$200&lt;&gt;"",ROW(A$1:A$200)),ROWS(B$1:B166))))</f>
        <v/>
      </c>
    </row>
    <row r="167" spans="1:2" x14ac:dyDescent="0.2">
      <c r="A167" s="66" t="str">
        <f>IF(AND(Wände!A77&lt;&gt;"",LEN(Wände!A77)&lt;10),Wände!A77,"")</f>
        <v/>
      </c>
      <c r="B167" s="66" t="str">
        <f t="array" ref="B167">IF(ROWS(B$1:B167)&gt;SUMPRODUCT(--(A:A&lt;&gt;"")),"",INDEX(A:A,SMALL(IF(A$1:A$200&lt;&gt;"",ROW(A$1:A$200)),ROWS(B$1:B167))))</f>
        <v/>
      </c>
    </row>
    <row r="168" spans="1:2" x14ac:dyDescent="0.2">
      <c r="A168" s="66" t="str">
        <f>IF(AND(Wände!A78&lt;&gt;"",LEN(Wände!A78)&lt;10),Wände!A78,"")</f>
        <v/>
      </c>
      <c r="B168" s="66" t="str">
        <f t="array" ref="B168">IF(ROWS(B$1:B168)&gt;SUMPRODUCT(--(A:A&lt;&gt;"")),"",INDEX(A:A,SMALL(IF(A$1:A$200&lt;&gt;"",ROW(A$1:A$200)),ROWS(B$1:B168))))</f>
        <v/>
      </c>
    </row>
    <row r="169" spans="1:2" x14ac:dyDescent="0.2">
      <c r="A169" s="66" t="str">
        <f>IF(AND(Wände!A79&lt;&gt;"",LEN(Wände!A79)&lt;10),Wände!A79,"")</f>
        <v/>
      </c>
      <c r="B169" s="66" t="str">
        <f t="array" ref="B169">IF(ROWS(B$1:B169)&gt;SUMPRODUCT(--(A:A&lt;&gt;"")),"",INDEX(A:A,SMALL(IF(A$1:A$200&lt;&gt;"",ROW(A$1:A$200)),ROWS(B$1:B169))))</f>
        <v/>
      </c>
    </row>
    <row r="170" spans="1:2" x14ac:dyDescent="0.2">
      <c r="A170" s="66" t="str">
        <f>IF(AND(Wände!A80&lt;&gt;"",LEN(Wände!A80)&lt;10),Wände!A80,"")</f>
        <v/>
      </c>
      <c r="B170" s="66" t="str">
        <f t="array" ref="B170">IF(ROWS(B$1:B170)&gt;SUMPRODUCT(--(A:A&lt;&gt;"")),"",INDEX(A:A,SMALL(IF(A$1:A$200&lt;&gt;"",ROW(A$1:A$200)),ROWS(B$1:B170))))</f>
        <v/>
      </c>
    </row>
    <row r="171" spans="1:2" x14ac:dyDescent="0.2">
      <c r="A171" s="66" t="str">
        <f>IF(AND(Wände!A81&lt;&gt;"",LEN(Wände!A81)&lt;10),Wände!A81,"")</f>
        <v/>
      </c>
      <c r="B171" s="66" t="str">
        <f t="array" ref="B171">IF(ROWS(B$1:B171)&gt;SUMPRODUCT(--(A:A&lt;&gt;"")),"",INDEX(A:A,SMALL(IF(A$1:A$200&lt;&gt;"",ROW(A$1:A$200)),ROWS(B$1:B171))))</f>
        <v/>
      </c>
    </row>
    <row r="172" spans="1:2" x14ac:dyDescent="0.2">
      <c r="A172" s="66" t="str">
        <f>IF(AND(Wände!A82&lt;&gt;"",LEN(Wände!A82)&lt;10),Wände!A82,"")</f>
        <v/>
      </c>
      <c r="B172" s="66" t="str">
        <f t="array" ref="B172">IF(ROWS(B$1:B172)&gt;SUMPRODUCT(--(A:A&lt;&gt;"")),"",INDEX(A:A,SMALL(IF(A$1:A$200&lt;&gt;"",ROW(A$1:A$200)),ROWS(B$1:B172))))</f>
        <v/>
      </c>
    </row>
    <row r="173" spans="1:2" x14ac:dyDescent="0.2">
      <c r="A173" s="66" t="str">
        <f>IF(AND(Wände!A83&lt;&gt;"",LEN(Wände!A83)&lt;10),Wände!A83,"")</f>
        <v/>
      </c>
      <c r="B173" s="66" t="str">
        <f t="array" ref="B173">IF(ROWS(B$1:B173)&gt;SUMPRODUCT(--(A:A&lt;&gt;"")),"",INDEX(A:A,SMALL(IF(A$1:A$200&lt;&gt;"",ROW(A$1:A$200)),ROWS(B$1:B173))))</f>
        <v/>
      </c>
    </row>
    <row r="174" spans="1:2" x14ac:dyDescent="0.2">
      <c r="A174" s="66" t="str">
        <f>IF(AND(Wände!A84&lt;&gt;"",LEN(Wände!A84)&lt;10),Wände!A84,"")</f>
        <v/>
      </c>
      <c r="B174" s="66" t="str">
        <f t="array" ref="B174">IF(ROWS(B$1:B174)&gt;SUMPRODUCT(--(A:A&lt;&gt;"")),"",INDEX(A:A,SMALL(IF(A$1:A$200&lt;&gt;"",ROW(A$1:A$200)),ROWS(B$1:B174))))</f>
        <v/>
      </c>
    </row>
    <row r="175" spans="1:2" x14ac:dyDescent="0.2">
      <c r="A175" s="66" t="str">
        <f>IF(AND(Wände!A85&lt;&gt;"",LEN(Wände!A85)&lt;10),Wände!A85,"")</f>
        <v/>
      </c>
      <c r="B175" s="66" t="str">
        <f t="array" ref="B175">IF(ROWS(B$1:B175)&gt;SUMPRODUCT(--(A:A&lt;&gt;"")),"",INDEX(A:A,SMALL(IF(A$1:A$200&lt;&gt;"",ROW(A$1:A$200)),ROWS(B$1:B175))))</f>
        <v/>
      </c>
    </row>
    <row r="176" spans="1:2" x14ac:dyDescent="0.2">
      <c r="A176" s="66" t="str">
        <f>IF(AND(Wände!A86&lt;&gt;"",LEN(Wände!A86)&lt;10),Wände!A86,"")</f>
        <v/>
      </c>
      <c r="B176" s="66" t="str">
        <f t="array" ref="B176">IF(ROWS(B$1:B176)&gt;SUMPRODUCT(--(A:A&lt;&gt;"")),"",INDEX(A:A,SMALL(IF(A$1:A$200&lt;&gt;"",ROW(A$1:A$200)),ROWS(B$1:B176))))</f>
        <v/>
      </c>
    </row>
    <row r="177" spans="1:2" x14ac:dyDescent="0.2">
      <c r="A177" s="66" t="str">
        <f>IF(AND(Wände!A87&lt;&gt;"",LEN(Wände!A87)&lt;10),Wände!A87,"")</f>
        <v/>
      </c>
      <c r="B177" s="66" t="str">
        <f t="array" ref="B177">IF(ROWS(B$1:B177)&gt;SUMPRODUCT(--(A:A&lt;&gt;"")),"",INDEX(A:A,SMALL(IF(A$1:A$200&lt;&gt;"",ROW(A$1:A$200)),ROWS(B$1:B177))))</f>
        <v/>
      </c>
    </row>
    <row r="178" spans="1:2" x14ac:dyDescent="0.2">
      <c r="A178" s="66" t="str">
        <f>IF(AND(Wände!A88&lt;&gt;"",LEN(Wände!A88)&lt;10),Wände!A88,"")</f>
        <v/>
      </c>
      <c r="B178" s="66" t="str">
        <f t="array" ref="B178">IF(ROWS(B$1:B178)&gt;SUMPRODUCT(--(A:A&lt;&gt;"")),"",INDEX(A:A,SMALL(IF(A$1:A$200&lt;&gt;"",ROW(A$1:A$200)),ROWS(B$1:B178))))</f>
        <v/>
      </c>
    </row>
    <row r="179" spans="1:2" x14ac:dyDescent="0.2">
      <c r="A179" s="66" t="str">
        <f>IF(AND(Wände!A89&lt;&gt;"",LEN(Wände!A89)&lt;10),Wände!A89,"")</f>
        <v/>
      </c>
      <c r="B179" s="66" t="str">
        <f t="array" ref="B179">IF(ROWS(B$1:B179)&gt;SUMPRODUCT(--(A:A&lt;&gt;"")),"",INDEX(A:A,SMALL(IF(A$1:A$200&lt;&gt;"",ROW(A$1:A$200)),ROWS(B$1:B179))))</f>
        <v/>
      </c>
    </row>
    <row r="180" spans="1:2" x14ac:dyDescent="0.2">
      <c r="A180" s="66" t="str">
        <f>IF(AND(Wände!A90&lt;&gt;"",LEN(Wände!A90)&lt;10),Wände!A90,"")</f>
        <v/>
      </c>
      <c r="B180" s="66" t="str">
        <f t="array" ref="B180">IF(ROWS(B$1:B180)&gt;SUMPRODUCT(--(A:A&lt;&gt;"")),"",INDEX(A:A,SMALL(IF(A$1:A$200&lt;&gt;"",ROW(A$1:A$200)),ROWS(B$1:B180))))</f>
        <v/>
      </c>
    </row>
    <row r="181" spans="1:2" x14ac:dyDescent="0.2">
      <c r="A181" s="66" t="str">
        <f>IF(AND(Wände!A91&lt;&gt;"",LEN(Wände!A91)&lt;10),Wände!A91,"")</f>
        <v/>
      </c>
      <c r="B181" s="66" t="str">
        <f t="array" ref="B181">IF(ROWS(B$1:B181)&gt;SUMPRODUCT(--(A:A&lt;&gt;"")),"",INDEX(A:A,SMALL(IF(A$1:A$200&lt;&gt;"",ROW(A$1:A$200)),ROWS(B$1:B181))))</f>
        <v/>
      </c>
    </row>
    <row r="182" spans="1:2" x14ac:dyDescent="0.2">
      <c r="A182" s="66" t="str">
        <f>IF(AND(Wände!A92&lt;&gt;"",LEN(Wände!A92)&lt;10),Wände!A92,"")</f>
        <v/>
      </c>
      <c r="B182" s="66" t="str">
        <f t="array" ref="B182">IF(ROWS(B$1:B182)&gt;SUMPRODUCT(--(A:A&lt;&gt;"")),"",INDEX(A:A,SMALL(IF(A$1:A$200&lt;&gt;"",ROW(A$1:A$200)),ROWS(B$1:B182))))</f>
        <v/>
      </c>
    </row>
    <row r="183" spans="1:2" x14ac:dyDescent="0.2">
      <c r="A183" s="66" t="str">
        <f>IF(AND(Wände!A93&lt;&gt;"",LEN(Wände!A93)&lt;10),Wände!A93,"")</f>
        <v/>
      </c>
      <c r="B183" s="66" t="str">
        <f t="array" ref="B183">IF(ROWS(B$1:B183)&gt;SUMPRODUCT(--(A:A&lt;&gt;"")),"",INDEX(A:A,SMALL(IF(A$1:A$200&lt;&gt;"",ROW(A$1:A$200)),ROWS(B$1:B183))))</f>
        <v/>
      </c>
    </row>
    <row r="184" spans="1:2" x14ac:dyDescent="0.2">
      <c r="A184" s="66" t="str">
        <f>IF(AND(Wände!A94&lt;&gt;"",LEN(Wände!A94)&lt;10),Wände!A94,"")</f>
        <v/>
      </c>
      <c r="B184" s="66" t="str">
        <f t="array" ref="B184">IF(ROWS(B$1:B184)&gt;SUMPRODUCT(--(A:A&lt;&gt;"")),"",INDEX(A:A,SMALL(IF(A$1:A$200&lt;&gt;"",ROW(A$1:A$200)),ROWS(B$1:B184))))</f>
        <v/>
      </c>
    </row>
    <row r="185" spans="1:2" x14ac:dyDescent="0.2">
      <c r="A185" s="66" t="str">
        <f>IF(AND(Wände!A95&lt;&gt;"",LEN(Wände!A95)&lt;10),Wände!A95,"")</f>
        <v/>
      </c>
      <c r="B185" s="66" t="str">
        <f t="array" ref="B185">IF(ROWS(B$1:B185)&gt;SUMPRODUCT(--(A:A&lt;&gt;"")),"",INDEX(A:A,SMALL(IF(A$1:A$200&lt;&gt;"",ROW(A$1:A$200)),ROWS(B$1:B185))))</f>
        <v/>
      </c>
    </row>
    <row r="186" spans="1:2" x14ac:dyDescent="0.2">
      <c r="A186" s="66" t="str">
        <f>IF(AND(Wände!A96&lt;&gt;"",LEN(Wände!A96)&lt;10),Wände!A96,"")</f>
        <v/>
      </c>
      <c r="B186" s="66" t="str">
        <f t="array" ref="B186">IF(ROWS(B$1:B186)&gt;SUMPRODUCT(--(A:A&lt;&gt;"")),"",INDEX(A:A,SMALL(IF(A$1:A$200&lt;&gt;"",ROW(A$1:A$200)),ROWS(B$1:B186))))</f>
        <v/>
      </c>
    </row>
    <row r="187" spans="1:2" x14ac:dyDescent="0.2">
      <c r="A187" s="66" t="str">
        <f>IF(AND(Wände!A97&lt;&gt;"",LEN(Wände!A97)&lt;10),Wände!A97,"")</f>
        <v/>
      </c>
      <c r="B187" s="66" t="str">
        <f t="array" ref="B187">IF(ROWS(B$1:B187)&gt;SUMPRODUCT(--(A:A&lt;&gt;"")),"",INDEX(A:A,SMALL(IF(A$1:A$200&lt;&gt;"",ROW(A$1:A$200)),ROWS(B$1:B187))))</f>
        <v/>
      </c>
    </row>
    <row r="188" spans="1:2" x14ac:dyDescent="0.2">
      <c r="A188" s="66" t="str">
        <f>IF(AND(Wände!A98&lt;&gt;"",LEN(Wände!A98)&lt;10),Wände!A98,"")</f>
        <v/>
      </c>
      <c r="B188" s="66" t="str">
        <f t="array" ref="B188">IF(ROWS(B$1:B188)&gt;SUMPRODUCT(--(A:A&lt;&gt;"")),"",INDEX(A:A,SMALL(IF(A$1:A$200&lt;&gt;"",ROW(A$1:A$200)),ROWS(B$1:B188))))</f>
        <v/>
      </c>
    </row>
    <row r="189" spans="1:2" x14ac:dyDescent="0.2">
      <c r="A189" s="66" t="str">
        <f>IF(AND(Wände!A99&lt;&gt;"",LEN(Wände!A99)&lt;10),Wände!A99,"")</f>
        <v/>
      </c>
      <c r="B189" s="66" t="str">
        <f t="array" ref="B189">IF(ROWS(B$1:B189)&gt;SUMPRODUCT(--(A:A&lt;&gt;"")),"",INDEX(A:A,SMALL(IF(A$1:A$200&lt;&gt;"",ROW(A$1:A$200)),ROWS(B$1:B189))))</f>
        <v/>
      </c>
    </row>
    <row r="190" spans="1:2" x14ac:dyDescent="0.2">
      <c r="A190" s="66" t="str">
        <f>IF(AND(Wände!A100&lt;&gt;"",LEN(Wände!A100)&lt;10),Wände!A100,"")</f>
        <v/>
      </c>
      <c r="B190" s="66" t="str">
        <f t="array" ref="B190">IF(ROWS(B$1:B190)&gt;SUMPRODUCT(--(A:A&lt;&gt;"")),"",INDEX(A:A,SMALL(IF(A$1:A$200&lt;&gt;"",ROW(A$1:A$200)),ROWS(B$1:B190))))</f>
        <v/>
      </c>
    </row>
    <row r="191" spans="1:2" x14ac:dyDescent="0.2">
      <c r="A191" s="66" t="str">
        <f>IF(AND(Wände!A101&lt;&gt;"",LEN(Wände!A101)&lt;10),Wände!A101,"")</f>
        <v/>
      </c>
      <c r="B191" s="66" t="str">
        <f t="array" ref="B191">IF(ROWS(B$1:B191)&gt;SUMPRODUCT(--(A:A&lt;&gt;"")),"",INDEX(A:A,SMALL(IF(A$1:A$200&lt;&gt;"",ROW(A$1:A$200)),ROWS(B$1:B191))))</f>
        <v/>
      </c>
    </row>
    <row r="192" spans="1:2" x14ac:dyDescent="0.2">
      <c r="A192" s="66" t="str">
        <f>IF(AND(Wände!A102&lt;&gt;"",LEN(Wände!A102)&lt;10),Wände!A102,"")</f>
        <v/>
      </c>
      <c r="B192" s="66" t="str">
        <f t="array" ref="B192">IF(ROWS(B$1:B192)&gt;SUMPRODUCT(--(A:A&lt;&gt;"")),"",INDEX(A:A,SMALL(IF(A$1:A$200&lt;&gt;"",ROW(A$1:A$200)),ROWS(B$1:B192))))</f>
        <v/>
      </c>
    </row>
    <row r="193" spans="1:2" x14ac:dyDescent="0.2">
      <c r="A193" s="66" t="str">
        <f>IF(AND(Wände!A103&lt;&gt;"",LEN(Wände!A103)&lt;10),Wände!A103,"")</f>
        <v/>
      </c>
      <c r="B193" s="66" t="str">
        <f t="array" ref="B193">IF(ROWS(B$1:B193)&gt;SUMPRODUCT(--(A:A&lt;&gt;"")),"",INDEX(A:A,SMALL(IF(A$1:A$200&lt;&gt;"",ROW(A$1:A$200)),ROWS(B$1:B193))))</f>
        <v/>
      </c>
    </row>
    <row r="194" spans="1:2" x14ac:dyDescent="0.2">
      <c r="A194" s="66" t="str">
        <f>IF(AND(Wände!A104&lt;&gt;"",LEN(Wände!A104)&lt;10),Wände!A104,"")</f>
        <v/>
      </c>
      <c r="B194" s="66" t="str">
        <f t="array" ref="B194">IF(ROWS(B$1:B194)&gt;SUMPRODUCT(--(A:A&lt;&gt;"")),"",INDEX(A:A,SMALL(IF(A$1:A$200&lt;&gt;"",ROW(A$1:A$200)),ROWS(B$1:B194))))</f>
        <v/>
      </c>
    </row>
    <row r="195" spans="1:2" x14ac:dyDescent="0.2">
      <c r="A195" s="66" t="str">
        <f>IF(AND(Wände!A105&lt;&gt;"",LEN(Wände!A105)&lt;10),Wände!A105,"")</f>
        <v/>
      </c>
      <c r="B195" s="66" t="str">
        <f t="array" ref="B195">IF(ROWS(B$1:B195)&gt;SUMPRODUCT(--(A:A&lt;&gt;"")),"",INDEX(A:A,SMALL(IF(A$1:A$200&lt;&gt;"",ROW(A$1:A$200)),ROWS(B$1:B195))))</f>
        <v/>
      </c>
    </row>
    <row r="196" spans="1:2" x14ac:dyDescent="0.2">
      <c r="A196" s="66" t="str">
        <f>IF(AND(Wände!A106&lt;&gt;"",LEN(Wände!A106)&lt;10),Wände!A106,"")</f>
        <v/>
      </c>
      <c r="B196" s="66" t="str">
        <f t="array" ref="B196">IF(ROWS(B$1:B196)&gt;SUMPRODUCT(--(A:A&lt;&gt;"")),"",INDEX(A:A,SMALL(IF(A$1:A$200&lt;&gt;"",ROW(A$1:A$200)),ROWS(B$1:B196))))</f>
        <v/>
      </c>
    </row>
    <row r="197" spans="1:2" x14ac:dyDescent="0.2">
      <c r="A197" s="66" t="str">
        <f>IF(AND(Wände!A107&lt;&gt;"",LEN(Wände!A107)&lt;10),Wände!A107,"")</f>
        <v/>
      </c>
      <c r="B197" s="66" t="str">
        <f t="array" ref="B197">IF(ROWS(B$1:B197)&gt;SUMPRODUCT(--(A:A&lt;&gt;"")),"",INDEX(A:A,SMALL(IF(A$1:A$200&lt;&gt;"",ROW(A$1:A$200)),ROWS(B$1:B197))))</f>
        <v/>
      </c>
    </row>
    <row r="198" spans="1:2" x14ac:dyDescent="0.2">
      <c r="A198" s="66" t="str">
        <f>IF(AND(Wände!A108&lt;&gt;"",LEN(Wände!A108)&lt;10),Wände!A108,"")</f>
        <v/>
      </c>
      <c r="B198" s="66" t="str">
        <f t="array" ref="B198">IF(ROWS(B$1:B198)&gt;SUMPRODUCT(--(A:A&lt;&gt;"")),"",INDEX(A:A,SMALL(IF(A$1:A$200&lt;&gt;"",ROW(A$1:A$200)),ROWS(B$1:B198))))</f>
        <v/>
      </c>
    </row>
    <row r="199" spans="1:2" x14ac:dyDescent="0.2">
      <c r="A199" s="66" t="str">
        <f>IF(AND(Wände!A109&lt;&gt;"",LEN(Wände!A109)&lt;10),Wände!A109,"")</f>
        <v/>
      </c>
      <c r="B199" s="66" t="str">
        <f t="array" ref="B199">IF(ROWS(B$1:B199)&gt;SUMPRODUCT(--(A:A&lt;&gt;"")),"",INDEX(A:A,SMALL(IF(A$1:A$200&lt;&gt;"",ROW(A$1:A$200)),ROWS(B$1:B199))))</f>
        <v/>
      </c>
    </row>
    <row r="200" spans="1:2" x14ac:dyDescent="0.2">
      <c r="A200" s="66" t="str">
        <f>IF(AND(Wände!A110&lt;&gt;"",LEN(Wände!A110)&lt;10),Wände!A110,"")</f>
        <v/>
      </c>
      <c r="B200" s="66" t="str">
        <f t="array" ref="B200">IF(ROWS(B$1:B200)&gt;SUMPRODUCT(--(A:A&lt;&gt;"")),"",INDEX(A:A,SMALL(IF(A$1:A$200&lt;&gt;"",ROW(A$1:A$200)),ROWS(B$1:B200))))</f>
        <v/>
      </c>
    </row>
  </sheetData>
  <sheetCalcPr fullCalcOnLoad="1"/>
  <dataValidations count="1">
    <dataValidation type="list" allowBlank="1" showInputMessage="1" showErrorMessage="1" sqref="C1" xr:uid="{07FF71BD-9C57-2E4B-93A1-16503FC8F260}">
      <formula1>WallOpeningParentCodes</formula1>
    </dataValidation>
  </dataValidations>
  <pageMargins left="0.7" right="0.7" top="0.75" bottom="0.75" header="0.3" footer="0.3"/>
  <pageSetup paperSize="9" orientation="portrait" verticalDpi="30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86</vt:i4>
      </vt:variant>
    </vt:vector>
  </HeadingPairs>
  <TitlesOfParts>
    <vt:vector size="109" baseType="lpstr">
      <vt:lpstr>Projekt</vt:lpstr>
      <vt:lpstr>Gebäudenutzungen</vt:lpstr>
      <vt:lpstr>Dächer und Decken</vt:lpstr>
      <vt:lpstr>Wände</vt:lpstr>
      <vt:lpstr>Fenster und Türen</vt:lpstr>
      <vt:lpstr>Böden</vt:lpstr>
      <vt:lpstr>Wärmebrücken</vt:lpstr>
      <vt:lpstr>Wärmeerzeuger</vt:lpstr>
      <vt:lpstr>Speicher</vt:lpstr>
      <vt:lpstr>Versorgter Bereich Heizung</vt:lpstr>
      <vt:lpstr>Versorgter Bereich Warmwasser</vt:lpstr>
      <vt:lpstr>Verbrauchsdaten HWW</vt:lpstr>
      <vt:lpstr>Geräte und Installationen</vt:lpstr>
      <vt:lpstr>Kleingeräte und Elektronik</vt:lpstr>
      <vt:lpstr>Beleuchtung</vt:lpstr>
      <vt:lpstr>Betriebseinrichtungen und Gerät</vt:lpstr>
      <vt:lpstr>Elektrizitätsprod. ohne PVopti</vt:lpstr>
      <vt:lpstr>Elektrizitätsprod. mit PVopti</vt:lpstr>
      <vt:lpstr>Weitere Verbraucher</vt:lpstr>
      <vt:lpstr>Verbrauchsdaten Elektrizität</vt:lpstr>
      <vt:lpstr>Lüftung</vt:lpstr>
      <vt:lpstr>DropDownData</vt:lpstr>
      <vt:lpstr>WallOpeningParents</vt:lpstr>
      <vt:lpstr>BasementHeatingLevel</vt:lpstr>
      <vt:lpstr>BestKnownWeatherStations</vt:lpstr>
      <vt:lpstr>Boolean</vt:lpstr>
      <vt:lpstr>BuildingUsageSubTypes</vt:lpstr>
      <vt:lpstr>BuildingUsageTypes</vt:lpstr>
      <vt:lpstr>BuildingUsageTypeSelection</vt:lpstr>
      <vt:lpstr>BüroVerwaltung</vt:lpstr>
      <vt:lpstr>CalculationBase_NoMeter</vt:lpstr>
      <vt:lpstr>CalculationBase_OnlyLump</vt:lpstr>
      <vt:lpstr>ConstructionType</vt:lpstr>
      <vt:lpstr>ConsumerMeterType</vt:lpstr>
      <vt:lpstr>DeviceQuality</vt:lpstr>
      <vt:lpstr>Devices</vt:lpstr>
      <vt:lpstr>Einfamilienhaus</vt:lpstr>
      <vt:lpstr>ElectricityProducerType</vt:lpstr>
      <vt:lpstr>ElectronicsQualities</vt:lpstr>
      <vt:lpstr>EMS_ExpertCode</vt:lpstr>
      <vt:lpstr>EnergyManagementSystemType</vt:lpstr>
      <vt:lpstr>EnergySources</vt:lpstr>
      <vt:lpstr>ExpansionDegrees</vt:lpstr>
      <vt:lpstr>ExpertCodes</vt:lpstr>
      <vt:lpstr>FacadeStructure</vt:lpstr>
      <vt:lpstr>FanType</vt:lpstr>
      <vt:lpstr>FloorType</vt:lpstr>
      <vt:lpstr>GeneralCondition</vt:lpstr>
      <vt:lpstr>GroundPlanType</vt:lpstr>
      <vt:lpstr>HeatEmission</vt:lpstr>
      <vt:lpstr>HeaterExpertCodes</vt:lpstr>
      <vt:lpstr>HeatExchangerType</vt:lpstr>
      <vt:lpstr>HeatingFlows</vt:lpstr>
      <vt:lpstr>HeatingSupplyType</vt:lpstr>
      <vt:lpstr>HeatingType</vt:lpstr>
      <vt:lpstr>HeatProducerCondition</vt:lpstr>
      <vt:lpstr>Speicher!HeatProducerExpertCodes</vt:lpstr>
      <vt:lpstr>HeatProducerExpertCodes</vt:lpstr>
      <vt:lpstr>HeatProducerOversize</vt:lpstr>
      <vt:lpstr>HeatProducerTypes</vt:lpstr>
      <vt:lpstr>HeatUnit</vt:lpstr>
      <vt:lpstr>HeizungsspeichervolumeninLiter</vt:lpstr>
      <vt:lpstr>Hotel</vt:lpstr>
      <vt:lpstr>HotelType</vt:lpstr>
      <vt:lpstr>HpExpertCodes</vt:lpstr>
      <vt:lpstr>InOutThermalEnvelope</vt:lpstr>
      <vt:lpstr>LightingQuality</vt:lpstr>
      <vt:lpstr>Mehrfamilienhaus</vt:lpstr>
      <vt:lpstr>Orientation</vt:lpstr>
      <vt:lpstr>OrientationH</vt:lpstr>
      <vt:lpstr>OrientationHExtended</vt:lpstr>
      <vt:lpstr>OtherConsumerType</vt:lpstr>
      <vt:lpstr>PartialBool</vt:lpstr>
      <vt:lpstr>Projekt!Print_Area</vt:lpstr>
      <vt:lpstr>Prioritization</vt:lpstr>
      <vt:lpstr>Quality</vt:lpstr>
      <vt:lpstr>ReservoirType</vt:lpstr>
      <vt:lpstr>Restaurant</vt:lpstr>
      <vt:lpstr>RestaurantType</vt:lpstr>
      <vt:lpstr>RoofCeilingType</vt:lpstr>
      <vt:lpstr>RoofType</vt:lpstr>
      <vt:lpstr>Schule</vt:lpstr>
      <vt:lpstr>ShopType</vt:lpstr>
      <vt:lpstr>SpExpertCodes</vt:lpstr>
      <vt:lpstr>StandardVentilationType</vt:lpstr>
      <vt:lpstr>SuppliedDistributionSystems</vt:lpstr>
      <vt:lpstr>ThermalBridgeType</vt:lpstr>
      <vt:lpstr>Title</vt:lpstr>
      <vt:lpstr>UnknownBool</vt:lpstr>
      <vt:lpstr>Verkauf</vt:lpstr>
      <vt:lpstr>WallOpeningType</vt:lpstr>
      <vt:lpstr>WallType</vt:lpstr>
      <vt:lpstr>WarmWaterWarmKeeping</vt:lpstr>
      <vt:lpstr>WeatherStations</vt:lpstr>
      <vt:lpstr>WS10ExpertCodes</vt:lpstr>
      <vt:lpstr>WS12ExpertCodes</vt:lpstr>
      <vt:lpstr>WS13ExpertCodes</vt:lpstr>
      <vt:lpstr>WS14ExpertCodes</vt:lpstr>
      <vt:lpstr>WS15ExpertCodes</vt:lpstr>
      <vt:lpstr>WS16ExpertCodes</vt:lpstr>
      <vt:lpstr>WS17ExpertCodes</vt:lpstr>
      <vt:lpstr>WS18ExpertCodes</vt:lpstr>
      <vt:lpstr>WS20ExpertCodes</vt:lpstr>
      <vt:lpstr>WS2ExpertCodes</vt:lpstr>
      <vt:lpstr>WS3ExpertCodes</vt:lpstr>
      <vt:lpstr>WS4ExpertCodes</vt:lpstr>
      <vt:lpstr>WS5ExpertCodes</vt:lpstr>
      <vt:lpstr>WS6ExpertCodes</vt:lpstr>
      <vt:lpstr>WS9ExpertCodes</vt:lpstr>
    </vt:vector>
  </TitlesOfParts>
  <Company>Elca Informatique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Jordan</dc:creator>
  <cp:lastModifiedBy>Mengelt Pascal-Eduard, SCS-B2B-TBS-BPS-BPM</cp:lastModifiedBy>
  <cp:lastPrinted>2012-04-05T14:07:14Z</cp:lastPrinted>
  <dcterms:created xsi:type="dcterms:W3CDTF">2012-03-22T10:41:07Z</dcterms:created>
  <dcterms:modified xsi:type="dcterms:W3CDTF">2025-11-30T10:37:35Z</dcterms:modified>
</cp:coreProperties>
</file>